
<file path=[Content_Types].xml><?xml version="1.0" encoding="utf-8"?>
<Types xmlns="http://schemas.openxmlformats.org/package/2006/content-types">
  <Default Extension="xml" ContentType="application/xml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pecification" sheetId="1" r:id="rId1"/>
    <sheet name="Simiulation Data" sheetId="6" r:id="rId2"/>
    <sheet name="Depth of Field" sheetId="4" r:id="rId3"/>
    <sheet name="Chief Ray Angle" sheetId="3" r:id="rId4"/>
    <sheet name="Distortion" sheetId="8" r:id="rId5"/>
  </sheets>
  <definedNames>
    <definedName name="_xlnm.Print_Area" localSheetId="3">'Chief Ray Angle'!$A$2:$M$28</definedName>
    <definedName name="_xlnm.Print_Area" localSheetId="2">'Depth of Field'!$A$2:$E$55</definedName>
    <definedName name="_xlnm.Print_Area" localSheetId="1">'Simiulation Data'!$A$1:$M$52</definedName>
    <definedName name="_xlnm.Print_Area" localSheetId="0">Specification!$A$1:$F$63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<sst xmlns="http://schemas.openxmlformats.org/spreadsheetml/2006/main" count="125" uniqueCount="97">
  <si>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r>
      <rPr>
        <b/>
        <sz val="14"/>
        <rFont val="Arial Narrow"/>
        <charset val="134"/>
      </rPr>
      <t>Title</t>
    </r>
    <r>
      <rPr>
        <b/>
        <sz val="14"/>
        <rFont val="新細明體"/>
        <charset val="136"/>
      </rPr>
      <t>：</t>
    </r>
  </si>
  <si>
    <r>
      <rPr>
        <b/>
        <sz val="14"/>
        <rFont val="Arial Narrow"/>
        <charset val="134"/>
      </rPr>
      <t>Write</t>
    </r>
    <r>
      <rPr>
        <b/>
        <sz val="14"/>
        <rFont val="新細明體"/>
        <charset val="136"/>
      </rPr>
      <t>：</t>
    </r>
  </si>
  <si>
    <t xml:space="preserve"> </t>
  </si>
  <si>
    <r>
      <rPr>
        <b/>
        <sz val="14"/>
        <rFont val="Arial Narrow"/>
        <charset val="134"/>
      </rPr>
      <t>Date</t>
    </r>
    <r>
      <rPr>
        <b/>
        <sz val="14"/>
        <rFont val="新細明體"/>
        <charset val="136"/>
      </rPr>
      <t>：</t>
    </r>
  </si>
  <si>
    <r>
      <rPr>
        <b/>
        <sz val="14"/>
        <rFont val="Arial Narrow"/>
        <charset val="134"/>
      </rPr>
      <t>Rev.</t>
    </r>
    <r>
      <rPr>
        <b/>
        <sz val="14"/>
        <rFont val="新細明體"/>
        <charset val="136"/>
      </rPr>
      <t>：</t>
    </r>
    <r>
      <rPr>
        <b/>
        <sz val="14"/>
        <rFont val="Arial Narrow"/>
        <charset val="134"/>
      </rPr>
      <t>00</t>
    </r>
  </si>
  <si>
    <r>
      <rPr>
        <b/>
        <sz val="14"/>
        <rFont val="Arial Narrow"/>
        <charset val="134"/>
      </rPr>
      <t>A. Specification</t>
    </r>
    <r>
      <rPr>
        <b/>
        <sz val="14"/>
        <rFont val="新細明體"/>
        <charset val="136"/>
      </rPr>
      <t>：</t>
    </r>
  </si>
  <si>
    <r>
      <rPr>
        <b/>
        <sz val="14"/>
        <rFont val="Arial Narrow"/>
        <charset val="134"/>
      </rPr>
      <t>B. Layout</t>
    </r>
    <r>
      <rPr>
        <b/>
        <sz val="14"/>
        <rFont val="新細明體"/>
        <charset val="136"/>
      </rPr>
      <t>：</t>
    </r>
  </si>
  <si>
    <t>Item</t>
  </si>
  <si>
    <t xml:space="preserve">Specification  </t>
  </si>
  <si>
    <t>Note</t>
  </si>
  <si>
    <t>Product No.</t>
  </si>
  <si>
    <t>Design No.</t>
  </si>
  <si>
    <t>-</t>
  </si>
  <si>
    <t>Construction</t>
  </si>
  <si>
    <t>2G5P</t>
  </si>
  <si>
    <t xml:space="preserve">Sensor Format </t>
  </si>
  <si>
    <t>Horizontal</t>
  </si>
  <si>
    <t>pixels</t>
  </si>
  <si>
    <t xml:space="preserve">IMX586 1/2 inch </t>
  </si>
  <si>
    <t>Vertical</t>
  </si>
  <si>
    <t>Sensor Pixel size</t>
  </si>
  <si>
    <t>um</t>
  </si>
  <si>
    <t>Light Source range</t>
  </si>
  <si>
    <t>400 ~ 700 nm</t>
  </si>
  <si>
    <t>Effect Focal Length  (EFL)</t>
  </si>
  <si>
    <t>mm</t>
  </si>
  <si>
    <t>F.No</t>
  </si>
  <si>
    <t>±5%</t>
  </si>
  <si>
    <t>Total Track Length(TTL)</t>
  </si>
  <si>
    <t>From top barrel to image plane at Infinity including 0.21mm IRF</t>
  </si>
  <si>
    <t>Flange Back Length  (FB)</t>
  </si>
  <si>
    <t>From rear barrel to image plane at Infinity, including 0.21mm IRF</t>
  </si>
  <si>
    <t>View Angle</t>
  </si>
  <si>
    <t>Horizontal (deg)</t>
  </si>
  <si>
    <t>/</t>
  </si>
  <si>
    <t>deg</t>
  </si>
  <si>
    <t>Image Height =</t>
  </si>
  <si>
    <t>Vertical (deg)</t>
  </si>
  <si>
    <t>Diagonal (deg)</t>
  </si>
  <si>
    <t>210(2.25mm)</t>
  </si>
  <si>
    <t>Resolution  (MTF)</t>
  </si>
  <si>
    <t>On Axis</t>
  </si>
  <si>
    <r>
      <rPr>
        <sz val="12"/>
        <rFont val="Arial Narrow"/>
        <charset val="134"/>
      </rPr>
      <t>13%(S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T)</t>
    </r>
  </si>
  <si>
    <t>@ Ny   Lp/mm</t>
  </si>
  <si>
    <r>
      <rPr>
        <sz val="12"/>
        <rFont val="Arial Narrow"/>
        <charset val="134"/>
      </rPr>
      <t>50%(S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T)</t>
    </r>
  </si>
  <si>
    <t>@ Ny/2 Lp/mm</t>
  </si>
  <si>
    <r>
      <rPr>
        <sz val="12"/>
        <rFont val="Arial Narrow"/>
        <charset val="134"/>
      </rPr>
      <t>74.6%(S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T)</t>
    </r>
  </si>
  <si>
    <t>@ Ny/4 Lp/mm</t>
  </si>
  <si>
    <t>80% Field</t>
  </si>
  <si>
    <r>
      <rPr>
        <sz val="12"/>
        <rFont val="Arial Narrow"/>
        <charset val="134"/>
      </rPr>
      <t>10.3%(S)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2.6%(T)</t>
    </r>
  </si>
  <si>
    <r>
      <rPr>
        <sz val="12"/>
        <rFont val="Arial Narrow"/>
        <charset val="134"/>
      </rPr>
      <t>45%(S)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28%(T)</t>
    </r>
  </si>
  <si>
    <r>
      <rPr>
        <sz val="12"/>
        <rFont val="Arial Narrow"/>
        <charset val="134"/>
      </rPr>
      <t>70%(S)</t>
    </r>
    <r>
      <rPr>
        <sz val="12"/>
        <rFont val="新細明體"/>
        <charset val="136"/>
      </rPr>
      <t>、</t>
    </r>
    <r>
      <rPr>
        <sz val="12"/>
        <rFont val="Arial Narrow"/>
        <charset val="134"/>
      </rPr>
      <t>63%(T)</t>
    </r>
  </si>
  <si>
    <t>Distortion</t>
  </si>
  <si>
    <t>f-theta distortion</t>
  </si>
  <si>
    <t>&lt;15%</t>
  </si>
  <si>
    <t>TV distortion  (Trad.*2)</t>
  </si>
  <si>
    <t>Relative Illumination  (Ref.)</t>
  </si>
  <si>
    <t>Chief Ray Angle</t>
  </si>
  <si>
    <t>&lt; 30</t>
  </si>
  <si>
    <t>Maximum Image Circle  (MIC)</t>
  </si>
  <si>
    <t>Barrel Thread Size</t>
  </si>
  <si>
    <t>C. Simulation data：</t>
  </si>
  <si>
    <t>Field</t>
  </si>
  <si>
    <t>IH</t>
  </si>
  <si>
    <t>RI</t>
  </si>
  <si>
    <t>MAX</t>
  </si>
  <si>
    <r>
      <rPr>
        <b/>
        <sz val="12"/>
        <rFont val="Arial"/>
        <charset val="134"/>
      </rPr>
      <t>○</t>
    </r>
    <r>
      <rPr>
        <b/>
        <sz val="12"/>
        <rFont val="Times New Roman"/>
        <charset val="134"/>
      </rPr>
      <t xml:space="preserve"> MTF at infinity *</t>
    </r>
  </si>
  <si>
    <r>
      <rPr>
        <b/>
        <sz val="12"/>
        <rFont val="宋体"/>
        <charset val="134"/>
      </rPr>
      <t>○</t>
    </r>
    <r>
      <rPr>
        <b/>
        <sz val="12"/>
        <rFont val="Times New Roman"/>
        <charset val="134"/>
      </rPr>
      <t xml:space="preserve"> Through focus MTF at infinity(N/4) *</t>
    </r>
  </si>
  <si>
    <t>Spot Diagram</t>
  </si>
  <si>
    <r>
      <rPr>
        <b/>
        <sz val="14"/>
        <rFont val="Arial Narrow"/>
        <charset val="134"/>
      </rPr>
      <t>D. Depth of Field</t>
    </r>
    <r>
      <rPr>
        <b/>
        <sz val="14"/>
        <rFont val="新細明體"/>
        <charset val="136"/>
      </rPr>
      <t>：</t>
    </r>
  </si>
  <si>
    <t>EFL</t>
  </si>
  <si>
    <t>F.NO</t>
  </si>
  <si>
    <t>Sensor Format</t>
  </si>
  <si>
    <t>Pixels</t>
  </si>
  <si>
    <t>Pitch Size</t>
  </si>
  <si>
    <t>Resolution</t>
  </si>
  <si>
    <t>TV line</t>
  </si>
  <si>
    <t>TVL</t>
  </si>
  <si>
    <t>Object Space</t>
  </si>
  <si>
    <t>Line Pair</t>
  </si>
  <si>
    <t>Lp/mm</t>
  </si>
  <si>
    <t>Image Space</t>
  </si>
  <si>
    <t>Circle of Confusion</t>
  </si>
  <si>
    <t>DOF</t>
  </si>
  <si>
    <t>Hyper-Focal Distance</t>
  </si>
  <si>
    <t xml:space="preserve">Object Distance                          (m)   </t>
  </si>
  <si>
    <t>Lens Shift                        (mm)</t>
  </si>
  <si>
    <t>Far Field                             (m)</t>
  </si>
  <si>
    <t>Near Field                   (m)</t>
  </si>
  <si>
    <t>INF</t>
  </si>
  <si>
    <r>
      <rPr>
        <b/>
        <sz val="14"/>
        <rFont val="Arial Narrow"/>
        <charset val="134"/>
      </rPr>
      <t>E. Chief Ray Angle</t>
    </r>
    <r>
      <rPr>
        <b/>
        <sz val="14"/>
        <rFont val="新細明體"/>
        <charset val="136"/>
      </rPr>
      <t>：</t>
    </r>
  </si>
  <si>
    <t>Image Height</t>
  </si>
  <si>
    <t>CRA</t>
  </si>
  <si>
    <t>Angle</t>
  </si>
  <si>
    <t>Real Height</t>
  </si>
  <si>
    <t>Ref. Height</t>
  </si>
  <si>
    <r>
      <rPr>
        <sz val="11"/>
        <color theme="1"/>
        <rFont val="宋体"/>
        <charset val="134"/>
        <scheme val="minor"/>
      </rPr>
      <t>Op</t>
    </r>
    <r>
      <rPr>
        <sz val="12"/>
        <rFont val="宋体"/>
        <charset val="134"/>
      </rPr>
      <t>tical</t>
    </r>
    <r>
      <rPr>
        <sz val="12"/>
        <rFont val="宋体"/>
        <charset val="134"/>
      </rPr>
      <t xml:space="preserve"> Distortion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</si>
</sst>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_ "/>
    <numFmt numFmtId="178" formatCode="0.000_ "/>
    <numFmt numFmtId="179" formatCode="0.0_ "/>
    <numFmt numFmtId="180" formatCode="0.0"/>
    <numFmt numFmtId="181" formatCode="0.0000"/>
    <numFmt numFmtId="182" formatCode="0.0%"/>
  </numFmts>
  <fonts count="37">
    <font>
      <sz val="12"/>
      <name val="新細明體"/>
      <charset val="136"/>
    </font>
    <font>
      <sz val="11"/>
      <color theme="1"/>
      <name val="宋体"/>
      <charset val="134"/>
      <scheme val="minor"/>
    </font>
    <font>
      <sz val="12"/>
      <name val="Arial Narrow"/>
      <charset val="134"/>
    </font>
    <font>
      <b/>
      <sz val="14"/>
      <name val="Arial Narrow"/>
      <charset val="134"/>
    </font>
    <font>
      <b/>
      <sz val="12"/>
      <name val="Arial Narrow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4"/>
      <name val="Times New Roman"/>
      <charset val="134"/>
    </font>
    <font>
      <b/>
      <sz val="14"/>
      <name val="新細明體"/>
      <charset val="136"/>
    </font>
    <font>
      <b/>
      <sz val="12"/>
      <name val="Times New Roman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b/>
      <sz val="12"/>
      <name val="Arial"/>
      <charset val="134"/>
    </font>
    <font>
      <u/>
      <sz val="14"/>
      <name val="Times New Roman"/>
      <charset val="134"/>
    </font>
    <font>
      <b/>
      <sz val="10"/>
      <color indexed="10"/>
      <name val="新細明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돋움"/>
      <charset val="134"/>
    </font>
    <font>
      <b/>
      <sz val="12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3" borderId="2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32" applyNumberFormat="0" applyAlignment="0" applyProtection="0">
      <alignment vertical="center"/>
    </xf>
    <xf numFmtId="0" fontId="24" fillId="5" borderId="33" applyNumberFormat="0" applyAlignment="0" applyProtection="0">
      <alignment vertical="center"/>
    </xf>
    <xf numFmtId="0" fontId="25" fillId="5" borderId="32" applyNumberFormat="0" applyAlignment="0" applyProtection="0">
      <alignment vertical="center"/>
    </xf>
    <xf numFmtId="0" fontId="26" fillId="6" borderId="34" applyNumberFormat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4" fillId="0" borderId="0" applyProtection="0">
      <alignment vertical="center"/>
    </xf>
    <xf numFmtId="0" fontId="1" fillId="0" borderId="0">
      <alignment vertical="center"/>
    </xf>
    <xf numFmtId="0" fontId="1" fillId="0" borderId="0"/>
  </cellStyleXfs>
  <cellXfs count="127">
    <xf numFmtId="0" fontId="0" fillId="0" borderId="0" xfId="0">
      <alignment vertical="center"/>
    </xf>
    <xf numFmtId="0" fontId="1" fillId="0" borderId="0" xfId="51"/>
    <xf numFmtId="0" fontId="1" fillId="0" borderId="0" xfId="51" applyAlignment="1">
      <alignment horizontal="center" vertical="center"/>
    </xf>
    <xf numFmtId="0" fontId="1" fillId="0" borderId="1" xfId="51" applyBorder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2" fontId="1" fillId="0" borderId="1" xfId="51" applyNumberFormat="1" applyBorder="1" applyAlignment="1">
      <alignment horizontal="center" vertical="center"/>
    </xf>
    <xf numFmtId="176" fontId="1" fillId="0" borderId="1" xfId="51" applyNumberFormat="1" applyBorder="1" applyAlignment="1">
      <alignment horizontal="center" vertical="center"/>
    </xf>
    <xf numFmtId="14" fontId="1" fillId="0" borderId="0" xfId="51" applyNumberForma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2" fontId="4" fillId="2" borderId="1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protection locked="0"/>
    </xf>
    <xf numFmtId="180" fontId="4" fillId="2" borderId="1" xfId="0" applyNumberFormat="1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vertical="center"/>
      <protection locked="0"/>
    </xf>
    <xf numFmtId="1" fontId="4" fillId="2" borderId="1" xfId="0" applyNumberFormat="1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vertical="top"/>
      <protection locked="0"/>
    </xf>
    <xf numFmtId="0" fontId="4" fillId="0" borderId="3" xfId="0" applyFont="1" applyFill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top"/>
      <protection locked="0"/>
    </xf>
    <xf numFmtId="0" fontId="4" fillId="0" borderId="4" xfId="0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180" fontId="4" fillId="2" borderId="1" xfId="0" applyNumberFormat="1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vertical="top"/>
      <protection locked="0"/>
    </xf>
    <xf numFmtId="2" fontId="4" fillId="2" borderId="1" xfId="0" applyNumberFormat="1" applyFont="1" applyFill="1" applyBorder="1" applyAlignment="1" applyProtection="1">
      <alignment horizontal="center"/>
      <protection hidden="1"/>
    </xf>
    <xf numFmtId="0" fontId="4" fillId="0" borderId="1" xfId="0" applyFont="1" applyBorder="1" applyAlignment="1">
      <alignment vertical="top"/>
    </xf>
    <xf numFmtId="0" fontId="2" fillId="0" borderId="1" xfId="0" applyFont="1" applyFill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181" fontId="2" fillId="0" borderId="1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protection locked="0"/>
    </xf>
    <xf numFmtId="1" fontId="2" fillId="0" borderId="1" xfId="0" applyNumberFormat="1" applyFont="1" applyFill="1" applyBorder="1" applyAlignment="1" applyProtection="1">
      <alignment horizontal="center"/>
      <protection hidden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2" borderId="8" xfId="0" applyFont="1" applyFill="1" applyBorder="1" applyAlignment="1" applyProtection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9" fontId="2" fillId="0" borderId="8" xfId="0" applyNumberFormat="1" applyFont="1" applyBorder="1" applyAlignment="1" applyProtection="1">
      <alignment horizontal="center" vertical="center"/>
      <protection locked="0"/>
    </xf>
    <xf numFmtId="178" fontId="2" fillId="2" borderId="1" xfId="0" applyNumberFormat="1" applyFont="1" applyFill="1" applyBorder="1" applyAlignment="1" applyProtection="1">
      <alignment horizontal="center" vertical="center"/>
      <protection hidden="1"/>
    </xf>
    <xf numFmtId="177" fontId="2" fillId="2" borderId="9" xfId="0" applyNumberFormat="1" applyFont="1" applyFill="1" applyBorder="1" applyAlignment="1" applyProtection="1">
      <alignment horizontal="center" vertical="center"/>
      <protection hidden="1"/>
    </xf>
    <xf numFmtId="177" fontId="2" fillId="2" borderId="1" xfId="0" applyNumberFormat="1" applyFont="1" applyFill="1" applyBorder="1" applyAlignment="1" applyProtection="1">
      <alignment horizontal="center" vertical="center"/>
      <protection hidden="1"/>
    </xf>
    <xf numFmtId="177" fontId="2" fillId="0" borderId="8" xfId="0" applyNumberFormat="1" applyFont="1" applyBorder="1" applyAlignment="1" applyProtection="1">
      <alignment horizontal="center" vertical="center"/>
      <protection locked="0"/>
    </xf>
    <xf numFmtId="178" fontId="2" fillId="2" borderId="9" xfId="0" applyNumberFormat="1" applyFont="1" applyFill="1" applyBorder="1" applyAlignment="1" applyProtection="1">
      <alignment horizontal="center" vertical="center"/>
      <protection hidden="1"/>
    </xf>
    <xf numFmtId="177" fontId="2" fillId="0" borderId="10" xfId="0" applyNumberFormat="1" applyFont="1" applyBorder="1" applyAlignment="1" applyProtection="1">
      <alignment horizontal="center" vertical="center"/>
      <protection locked="0"/>
    </xf>
    <xf numFmtId="178" fontId="2" fillId="2" borderId="11" xfId="0" applyNumberFormat="1" applyFont="1" applyFill="1" applyBorder="1" applyAlignment="1" applyProtection="1">
      <alignment horizontal="center" vertical="center"/>
      <protection hidden="1"/>
    </xf>
    <xf numFmtId="178" fontId="2" fillId="2" borderId="12" xfId="0" applyNumberFormat="1" applyFont="1" applyFill="1" applyBorder="1" applyAlignment="1" applyProtection="1">
      <alignment horizontal="center" vertical="center"/>
      <protection hidden="1"/>
    </xf>
    <xf numFmtId="0" fontId="5" fillId="0" borderId="0" xfId="50" applyFont="1" applyAlignment="1"/>
    <xf numFmtId="0" fontId="6" fillId="0" borderId="0" xfId="50" applyFont="1" applyAlignment="1"/>
    <xf numFmtId="0" fontId="7" fillId="0" borderId="0" xfId="50" applyFont="1" applyAlignment="1"/>
    <xf numFmtId="0" fontId="8" fillId="0" borderId="0" xfId="0" applyFont="1">
      <alignment vertical="center"/>
    </xf>
    <xf numFmtId="0" fontId="9" fillId="0" borderId="13" xfId="50" applyFont="1" applyBorder="1" applyAlignment="1"/>
    <xf numFmtId="0" fontId="6" fillId="0" borderId="14" xfId="50" applyFont="1" applyBorder="1" applyAlignment="1"/>
    <xf numFmtId="0" fontId="6" fillId="0" borderId="15" xfId="50" applyFont="1" applyBorder="1" applyAlignment="1"/>
    <xf numFmtId="0" fontId="5" fillId="0" borderId="16" xfId="49" applyFont="1" applyBorder="1" applyAlignment="1"/>
    <xf numFmtId="0" fontId="9" fillId="0" borderId="0" xfId="50" applyFont="1">
      <alignment vertical="center"/>
    </xf>
    <xf numFmtId="0" fontId="7" fillId="0" borderId="17" xfId="50" applyFont="1" applyBorder="1" applyAlignment="1"/>
    <xf numFmtId="0" fontId="7" fillId="0" borderId="16" xfId="50" applyFont="1" applyBorder="1" applyAlignment="1"/>
    <xf numFmtId="9" fontId="7" fillId="0" borderId="0" xfId="50" applyNumberFormat="1" applyFont="1" applyAlignment="1"/>
    <xf numFmtId="0" fontId="10" fillId="0" borderId="0" xfId="50" applyFont="1" applyAlignment="1"/>
    <xf numFmtId="0" fontId="7" fillId="0" borderId="0" xfId="50" applyFont="1" applyAlignment="1">
      <alignment horizontal="center" vertical="center"/>
    </xf>
    <xf numFmtId="14" fontId="7" fillId="0" borderId="0" xfId="50" applyNumberFormat="1" applyFont="1" applyAlignment="1"/>
    <xf numFmtId="0" fontId="11" fillId="0" borderId="1" xfId="50" applyFont="1" applyBorder="1" applyAlignment="1">
      <alignment horizontal="center" vertical="center"/>
    </xf>
    <xf numFmtId="0" fontId="10" fillId="0" borderId="0" xfId="50" applyFont="1" applyAlignment="1">
      <alignment horizontal="center" vertical="center"/>
    </xf>
    <xf numFmtId="176" fontId="11" fillId="0" borderId="1" xfId="50" applyNumberFormat="1" applyFont="1" applyBorder="1" applyAlignment="1">
      <alignment horizontal="center" vertical="center"/>
    </xf>
    <xf numFmtId="9" fontId="7" fillId="0" borderId="1" xfId="50" applyNumberFormat="1" applyFont="1" applyBorder="1" applyAlignment="1">
      <alignment horizontal="center" vertical="center"/>
    </xf>
    <xf numFmtId="9" fontId="11" fillId="0" borderId="1" xfId="50" applyNumberFormat="1" applyFont="1" applyBorder="1" applyAlignment="1">
      <alignment horizontal="center" vertical="center"/>
    </xf>
    <xf numFmtId="0" fontId="7" fillId="0" borderId="16" xfId="50" applyFont="1" applyBorder="1">
      <alignment vertical="center"/>
    </xf>
    <xf numFmtId="0" fontId="7" fillId="0" borderId="0" xfId="50" applyFont="1">
      <alignment vertical="center"/>
    </xf>
    <xf numFmtId="0" fontId="7" fillId="0" borderId="17" xfId="50" applyFont="1" applyBorder="1">
      <alignment vertical="center"/>
    </xf>
    <xf numFmtId="0" fontId="12" fillId="0" borderId="0" xfId="50" applyFont="1">
      <alignment vertical="center"/>
    </xf>
    <xf numFmtId="0" fontId="13" fillId="0" borderId="16" xfId="50" applyFont="1" applyBorder="1">
      <alignment vertical="center"/>
    </xf>
    <xf numFmtId="0" fontId="13" fillId="0" borderId="0" xfId="50" applyFont="1" applyBorder="1">
      <alignment vertical="center"/>
    </xf>
    <xf numFmtId="0" fontId="13" fillId="0" borderId="17" xfId="50" applyFont="1" applyBorder="1">
      <alignment vertical="center"/>
    </xf>
    <xf numFmtId="0" fontId="13" fillId="0" borderId="18" xfId="50" applyFont="1" applyBorder="1">
      <alignment vertical="center"/>
    </xf>
    <xf numFmtId="0" fontId="13" fillId="0" borderId="19" xfId="50" applyFont="1" applyBorder="1">
      <alignment vertical="center"/>
    </xf>
    <xf numFmtId="0" fontId="13" fillId="0" borderId="20" xfId="50" applyFont="1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3" fillId="0" borderId="19" xfId="0" applyFont="1" applyBorder="1">
      <alignment vertical="center"/>
    </xf>
    <xf numFmtId="14" fontId="3" fillId="0" borderId="19" xfId="0" applyNumberFormat="1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2" fillId="0" borderId="8" xfId="0" applyFont="1" applyBorder="1" applyAlignment="1">
      <alignment vertical="top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/>
    </xf>
    <xf numFmtId="179" fontId="2" fillId="0" borderId="1" xfId="0" applyNumberFormat="1" applyFont="1" applyBorder="1" applyAlignment="1">
      <alignment horizontal="left" vertical="center"/>
    </xf>
    <xf numFmtId="178" fontId="0" fillId="0" borderId="9" xfId="0" applyNumberFormat="1" applyBorder="1" applyAlignment="1">
      <alignment horizontal="left" vertical="center"/>
    </xf>
    <xf numFmtId="0" fontId="2" fillId="0" borderId="1" xfId="0" applyFont="1" applyBorder="1" applyAlignment="1">
      <alignment vertical="top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82" fontId="2" fillId="0" borderId="1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2" fillId="0" borderId="26" xfId="0" applyFont="1" applyBorder="1" applyAlignment="1" quotePrefix="1">
      <alignment horizontal="left" vertical="center"/>
    </xf>
    <xf numFmtId="179" fontId="2" fillId="0" borderId="1" xfId="0" applyNumberFormat="1" applyFont="1" applyBorder="1" applyAlignment="1" quotePrefix="1">
      <alignment horizontal="left" vertical="center"/>
    </xf>
    <xf numFmtId="0" fontId="2" fillId="0" borderId="1" xfId="0" applyFont="1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Lens Data sheet.xls" xfId="49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91304347826087"/>
          <c:y val="0.0571429900088123"/>
          <c:w val="0.859130434782609"/>
          <c:h val="0.807144733874474"/>
        </c:manualLayout>
      </c:layout>
      <c:scatterChart>
        <c:scatterStyle val="lineMarker"/>
        <c:varyColors val="0"/>
        <c:ser>
          <c:idx val="1"/>
          <c:order val="0"/>
          <c:tx>
            <c:strRef>
              <c:f>'Chief Ray Angle'!$C$5</c:f>
              <c:strCache>
                <c:ptCount val="1"/>
                <c:pt idx="0">
                  <c:v>CRA</c:v>
                </c:pt>
              </c:strCache>
            </c:strRef>
          </c:tx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'Chief Ray Angle'!$A$6:$A$26</c:f>
              <c:numCache>
                <c:formatCode>0.00_ 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'Chief Ray Angle'!$C$6:$C$26</c:f>
              <c:numCache>
                <c:formatCode>0.0_ </c:formatCode>
                <c:ptCount val="21"/>
                <c:pt idx="0">
                  <c:v>0</c:v>
                </c:pt>
                <c:pt idx="1">
                  <c:v>2.02</c:v>
                </c:pt>
                <c:pt idx="2">
                  <c:v>4.07</c:v>
                </c:pt>
                <c:pt idx="3">
                  <c:v>6.18</c:v>
                </c:pt>
                <c:pt idx="4">
                  <c:v>8.39</c:v>
                </c:pt>
                <c:pt idx="5">
                  <c:v>10.72</c:v>
                </c:pt>
                <c:pt idx="6">
                  <c:v>13.16</c:v>
                </c:pt>
                <c:pt idx="7">
                  <c:v>15.68</c:v>
                </c:pt>
                <c:pt idx="8">
                  <c:v>18.21</c:v>
                </c:pt>
                <c:pt idx="9">
                  <c:v>20.65</c:v>
                </c:pt>
                <c:pt idx="10">
                  <c:v>22.87</c:v>
                </c:pt>
                <c:pt idx="11">
                  <c:v>24.81</c:v>
                </c:pt>
                <c:pt idx="12">
                  <c:v>26.46</c:v>
                </c:pt>
                <c:pt idx="13">
                  <c:v>27.82</c:v>
                </c:pt>
                <c:pt idx="14">
                  <c:v>28.88</c:v>
                </c:pt>
                <c:pt idx="15">
                  <c:v>29.56</c:v>
                </c:pt>
                <c:pt idx="16">
                  <c:v>29.77</c:v>
                </c:pt>
                <c:pt idx="17">
                  <c:v>29.5</c:v>
                </c:pt>
                <c:pt idx="18">
                  <c:v>28.84</c:v>
                </c:pt>
                <c:pt idx="19">
                  <c:v>27.98</c:v>
                </c:pt>
                <c:pt idx="20">
                  <c:v>27.11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86479"/>
        <c:axId val="1"/>
      </c:scatterChart>
      <c:valAx>
        <c:axId val="218186479"/>
        <c:scaling>
          <c:orientation val="minMax"/>
          <c:max val="1"/>
        </c:scaling>
        <c:delete val="0"/>
        <c:axPos val="b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850" b="0" i="0" u="none" strike="noStrike" kern="1200" baseline="0">
                    <a:solidFill>
                      <a:srgbClr val="000000"/>
                    </a:solidFill>
                    <a:latin typeface="PMingLiU"/>
                    <a:ea typeface="PMingLiU"/>
                    <a:cs typeface="PMingLiU"/>
                  </a:defRPr>
                </a:pPr>
                <a:r>
                  <a:rPr lang="en-US" altLang="zh-CN"/>
                  <a:t>Field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506086956521739"/>
              <c:y val="0.921430821147357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000000"/>
                </a:solidFill>
                <a:latin typeface="PMingLiU"/>
                <a:ea typeface="PMingLiU"/>
                <a:cs typeface="PMingLiU"/>
              </a:defRPr>
            </a:pPr>
          </a:p>
        </c:txPr>
        <c:crossAx val="1"/>
        <c:crosses val="autoZero"/>
        <c:crossBetween val="midCat"/>
        <c:majorUnit val="0.1"/>
        <c:minorUnit val="0.05"/>
      </c:val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50" b="0" i="0" u="none" strike="noStrike" kern="1200" baseline="0">
                    <a:solidFill>
                      <a:srgbClr val="000000"/>
                    </a:solidFill>
                    <a:latin typeface="PMingLiU"/>
                    <a:ea typeface="PMingLiU"/>
                    <a:cs typeface="PMingLiU"/>
                  </a:defRPr>
                </a:pPr>
                <a:r>
                  <a:rPr lang="en-US" altLang="zh-CN"/>
                  <a:t>CRA (deg)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278260869565217"/>
              <c:y val="0.40238195225596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000000"/>
                </a:solidFill>
                <a:latin typeface="PMingLiU"/>
                <a:ea typeface="PMingLiU"/>
                <a:cs typeface="PMingLiU"/>
              </a:defRPr>
            </a:pPr>
          </a:p>
        </c:txPr>
        <c:crossAx val="21818647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b6d9a7d-3c3c-4d5b-a0ac-2b7e019a39da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850" b="0" i="0" u="none" strike="noStrike" baseline="0">
          <a:solidFill>
            <a:srgbClr val="000000"/>
          </a:solidFill>
          <a:latin typeface="PMingLiU"/>
          <a:ea typeface="PMingLiU"/>
          <a:cs typeface="PMingLiU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6</xdr:col>
      <xdr:colOff>277625</xdr:colOff>
      <xdr:row>48</xdr:row>
      <xdr:rowOff>25485</xdr:rowOff>
    </xdr:to>
    <xdr:pic>
      <xdr:nvPicPr>
        <xdr:cNvPr id="7" name="Picture 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6225" y="8543925"/>
          <a:ext cx="3887470" cy="288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12</xdr:col>
      <xdr:colOff>72471</xdr:colOff>
      <xdr:row>47</xdr:row>
      <xdr:rowOff>201959</xdr:rowOff>
    </xdr:to>
    <xdr:pic>
      <xdr:nvPicPr>
        <xdr:cNvPr id="8" name="Picture 5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24425" y="8543925"/>
          <a:ext cx="3882390" cy="2821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12</xdr:col>
      <xdr:colOff>72471</xdr:colOff>
      <xdr:row>16</xdr:row>
      <xdr:rowOff>4131</xdr:rowOff>
    </xdr:to>
    <xdr:pic>
      <xdr:nvPicPr>
        <xdr:cNvPr id="9" name="Picture 6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24425" y="962025"/>
          <a:ext cx="3882390" cy="28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6</xdr:col>
      <xdr:colOff>297417</xdr:colOff>
      <xdr:row>15</xdr:row>
      <xdr:rowOff>209923</xdr:rowOff>
    </xdr:to>
    <xdr:pic>
      <xdr:nvPicPr>
        <xdr:cNvPr id="15" name="Picture 11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6225" y="962025"/>
          <a:ext cx="3907155" cy="2790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6</xdr:col>
      <xdr:colOff>297417</xdr:colOff>
      <xdr:row>31</xdr:row>
      <xdr:rowOff>142582</xdr:rowOff>
    </xdr:to>
    <xdr:pic>
      <xdr:nvPicPr>
        <xdr:cNvPr id="17" name="Picture 7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6225" y="4733925"/>
          <a:ext cx="3907155" cy="2761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150232</xdr:colOff>
      <xdr:row>61</xdr:row>
      <xdr:rowOff>199709</xdr:rowOff>
    </xdr:to>
    <xdr:pic>
      <xdr:nvPicPr>
        <xdr:cNvPr id="11" name="图片 10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6225" y="11877675"/>
          <a:ext cx="3759835" cy="2818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</xdr:colOff>
      <xdr:row>5</xdr:row>
      <xdr:rowOff>6350</xdr:rowOff>
    </xdr:from>
    <xdr:to>
      <xdr:col>12</xdr:col>
      <xdr:colOff>0</xdr:colOff>
      <xdr:row>25</xdr:row>
      <xdr:rowOff>6350</xdr:rowOff>
    </xdr:to>
    <xdr:graphicFrame>
      <xdr:nvGraphicFramePr>
        <xdr:cNvPr id="3236" name="圖表 1"/>
        <xdr:cNvGraphicFramePr/>
      </xdr:nvGraphicFramePr>
      <xdr:xfrm>
        <a:off x="3854450" y="1006475"/>
        <a:ext cx="548005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62"/>
  <sheetViews>
    <sheetView tabSelected="1" workbookViewId="0">
      <selection activeCell="D39" sqref="D39"/>
    </sheetView>
  </sheetViews>
  <sheetFormatPr defaultColWidth="9" defaultRowHeight="15"/>
  <cols>
    <col min="1" max="2" width="18.625" style="8" customWidth="1"/>
    <col min="3" max="3" width="12.625" style="83" customWidth="1"/>
    <col min="4" max="4" width="8.625" style="83" customWidth="1"/>
    <col min="5" max="5" width="12.625" style="8" customWidth="1"/>
    <col min="6" max="6" width="48.625" style="8" customWidth="1"/>
    <col min="7" max="13" width="10.625" style="8" customWidth="1"/>
    <col min="14" max="16384" width="9" style="8"/>
  </cols>
  <sheetData>
    <row r="1" s="9" customFormat="1" ht="18.75" spans="1:17">
      <c r="A1" s="9" t="s">
        <v>0</v>
      </c>
      <c r="B1" s="84"/>
      <c r="C1" s="84"/>
      <c r="D1" s="84"/>
      <c r="F1" s="85"/>
    </row>
    <row r="2" s="9" customFormat="1" ht="18.75" spans="1:17">
      <c r="A2" s="9" t="s">
        <v>1</v>
      </c>
      <c r="B2" s="84" t="s">
        <v>2</v>
      </c>
      <c r="C2" s="84"/>
      <c r="D2" s="84"/>
      <c r="F2" s="85"/>
    </row>
    <row r="3" s="9" customFormat="1" ht="19.5" spans="1:17">
      <c r="A3" s="86" t="s">
        <v>3</v>
      </c>
      <c r="B3" s="87" t="s">
        <v>2</v>
      </c>
      <c r="C3" s="88"/>
      <c r="D3" s="88"/>
      <c r="E3" s="86"/>
      <c r="F3" s="89" t="s">
        <v>4</v>
      </c>
    </row>
    <row r="5" ht="18.75" spans="1:17">
      <c r="A5" s="9" t="s">
        <v>5</v>
      </c>
      <c r="H5" s="9" t="s">
        <v>6</v>
      </c>
    </row>
    <row r="7" ht="16.5" spans="1:17">
      <c r="A7" s="90" t="s">
        <v>7</v>
      </c>
      <c r="B7" s="91"/>
      <c r="C7" s="92" t="s">
        <v>8</v>
      </c>
      <c r="D7" s="92"/>
      <c r="E7" s="91" t="s">
        <v>9</v>
      </c>
      <c r="F7" s="93"/>
      <c r="H7" s="94"/>
      <c r="I7" s="95"/>
      <c r="J7" s="95"/>
      <c r="K7" s="95"/>
      <c r="L7" s="95"/>
      <c r="M7" s="95"/>
      <c r="N7" s="95"/>
      <c r="O7" s="95"/>
      <c r="P7" s="95"/>
      <c r="Q7" s="96"/>
    </row>
    <row r="8" spans="1:17">
      <c r="A8" s="97" t="s">
        <v>10</v>
      </c>
      <c r="B8" s="98"/>
      <c r="C8" s="99"/>
      <c r="D8" s="99"/>
      <c r="E8" s="98"/>
      <c r="F8" s="100"/>
      <c r="G8" s="101"/>
      <c r="H8" s="102"/>
      <c r="I8" s="103"/>
      <c r="J8" s="103"/>
      <c r="K8" s="103"/>
      <c r="L8" s="103"/>
      <c r="M8" s="103"/>
      <c r="N8" s="103"/>
      <c r="O8" s="103"/>
      <c r="P8" s="103"/>
      <c r="Q8" s="104"/>
    </row>
    <row r="9" spans="1:17">
      <c r="A9" s="105" t="s">
        <v>11</v>
      </c>
      <c r="B9" s="106"/>
      <c r="C9" s="127" t="s">
        <v>12</v>
      </c>
      <c r="D9" s="108"/>
      <c r="E9" s="106"/>
      <c r="F9" s="109"/>
      <c r="G9" s="101"/>
      <c r="H9" s="102"/>
      <c r="I9" s="103"/>
      <c r="J9" s="103"/>
      <c r="K9" s="103"/>
      <c r="L9" s="103"/>
      <c r="M9" s="103"/>
      <c r="N9" s="103"/>
      <c r="O9" s="103"/>
      <c r="P9" s="103"/>
      <c r="Q9" s="104"/>
    </row>
    <row r="10" spans="1:17">
      <c r="A10" s="105" t="s">
        <v>13</v>
      </c>
      <c r="B10" s="106"/>
      <c r="C10" s="107" t="s">
        <v>14</v>
      </c>
      <c r="D10" s="108"/>
      <c r="E10" s="106"/>
      <c r="F10" s="109"/>
      <c r="G10" s="101"/>
      <c r="H10" s="102"/>
      <c r="I10" s="103"/>
      <c r="J10" s="103"/>
      <c r="K10" s="103"/>
      <c r="L10" s="103"/>
      <c r="M10" s="103"/>
      <c r="N10" s="103"/>
      <c r="O10" s="103"/>
      <c r="P10" s="103"/>
      <c r="Q10" s="104"/>
    </row>
    <row r="11" spans="1:17">
      <c r="A11" s="110" t="s">
        <v>15</v>
      </c>
      <c r="B11" s="111" t="s">
        <v>16</v>
      </c>
      <c r="C11" s="112">
        <v>8000</v>
      </c>
      <c r="D11" s="112" t="s">
        <v>17</v>
      </c>
      <c r="E11" s="106" t="s">
        <v>18</v>
      </c>
      <c r="F11" s="109"/>
      <c r="G11" s="101"/>
      <c r="H11" s="102"/>
      <c r="I11" s="103"/>
      <c r="J11" s="103"/>
      <c r="K11" s="103"/>
      <c r="L11" s="103"/>
      <c r="M11" s="103"/>
      <c r="N11" s="103"/>
      <c r="O11" s="103"/>
      <c r="P11" s="103"/>
      <c r="Q11" s="104"/>
    </row>
    <row r="12" spans="1:17">
      <c r="A12" s="110"/>
      <c r="B12" s="111" t="s">
        <v>19</v>
      </c>
      <c r="C12" s="112">
        <v>6000</v>
      </c>
      <c r="D12" s="112" t="s">
        <v>17</v>
      </c>
      <c r="E12" s="106"/>
      <c r="F12" s="109"/>
      <c r="G12" s="101"/>
      <c r="H12" s="102"/>
      <c r="I12" s="103"/>
      <c r="J12" s="103"/>
      <c r="K12" s="103"/>
      <c r="L12" s="103"/>
      <c r="M12" s="103"/>
      <c r="N12" s="103"/>
      <c r="O12" s="103"/>
      <c r="P12" s="103"/>
      <c r="Q12" s="104"/>
    </row>
    <row r="13" spans="1:17">
      <c r="A13" s="110" t="s">
        <v>20</v>
      </c>
      <c r="B13" s="111" t="s">
        <v>16</v>
      </c>
      <c r="C13" s="112">
        <v>0.8</v>
      </c>
      <c r="D13" s="112" t="s">
        <v>21</v>
      </c>
      <c r="E13" s="106"/>
      <c r="F13" s="109"/>
      <c r="G13" s="101"/>
      <c r="H13" s="102"/>
      <c r="I13" s="103"/>
      <c r="J13" s="103"/>
      <c r="K13" s="103"/>
      <c r="L13" s="103"/>
      <c r="M13" s="103"/>
      <c r="N13" s="103"/>
      <c r="O13" s="103"/>
      <c r="P13" s="103"/>
      <c r="Q13" s="104"/>
    </row>
    <row r="14" spans="1:17">
      <c r="A14" s="110"/>
      <c r="B14" s="111" t="s">
        <v>19</v>
      </c>
      <c r="C14" s="112">
        <v>0.8</v>
      </c>
      <c r="D14" s="112" t="s">
        <v>21</v>
      </c>
      <c r="E14" s="106"/>
      <c r="F14" s="109"/>
      <c r="G14" s="101"/>
      <c r="H14" s="102"/>
      <c r="I14" s="103"/>
      <c r="J14" s="103"/>
      <c r="K14" s="103"/>
      <c r="L14" s="103"/>
      <c r="M14" s="103"/>
      <c r="N14" s="103"/>
      <c r="O14" s="103"/>
      <c r="P14" s="103"/>
      <c r="Q14" s="104"/>
    </row>
    <row r="15" spans="1:17">
      <c r="A15" s="105" t="s">
        <v>22</v>
      </c>
      <c r="B15" s="106"/>
      <c r="C15" s="112" t="s">
        <v>23</v>
      </c>
      <c r="D15" s="112"/>
      <c r="E15" s="106"/>
      <c r="F15" s="109"/>
      <c r="G15" s="101"/>
      <c r="H15" s="102"/>
      <c r="I15" s="103"/>
      <c r="J15" s="103"/>
      <c r="K15" s="103"/>
      <c r="L15" s="103"/>
      <c r="M15" s="103"/>
      <c r="N15" s="103"/>
      <c r="O15" s="103"/>
      <c r="P15" s="103"/>
      <c r="Q15" s="104"/>
    </row>
    <row r="16" spans="1:17">
      <c r="A16" s="105" t="s">
        <v>24</v>
      </c>
      <c r="B16" s="106"/>
      <c r="C16" s="112">
        <v>1.2</v>
      </c>
      <c r="D16" s="112" t="s">
        <v>25</v>
      </c>
      <c r="E16" s="106"/>
      <c r="F16" s="109"/>
      <c r="G16" s="101"/>
      <c r="H16" s="102"/>
      <c r="I16" s="103"/>
      <c r="J16" s="103"/>
      <c r="K16" s="103"/>
      <c r="L16" s="103"/>
      <c r="M16" s="103"/>
      <c r="N16" s="103"/>
      <c r="O16" s="103"/>
      <c r="P16" s="103"/>
      <c r="Q16" s="104"/>
    </row>
    <row r="17" spans="1:21">
      <c r="A17" s="105" t="s">
        <v>26</v>
      </c>
      <c r="B17" s="106"/>
      <c r="C17" s="112">
        <v>2.2</v>
      </c>
      <c r="D17" s="112" t="s">
        <v>27</v>
      </c>
      <c r="E17" s="106"/>
      <c r="F17" s="109"/>
      <c r="G17" s="101"/>
      <c r="H17" s="102"/>
      <c r="I17" s="103"/>
      <c r="J17" s="103"/>
      <c r="K17" s="103"/>
      <c r="L17" s="103"/>
      <c r="M17" s="103"/>
      <c r="N17" s="103"/>
      <c r="O17" s="103"/>
      <c r="P17" s="103"/>
      <c r="Q17" s="104"/>
    </row>
    <row r="18" ht="16.5" customHeight="1" spans="1:21">
      <c r="A18" s="113" t="s">
        <v>28</v>
      </c>
      <c r="B18" s="114"/>
      <c r="C18" s="112">
        <v>13.6</v>
      </c>
      <c r="D18" s="112" t="s">
        <v>25</v>
      </c>
      <c r="E18" s="106" t="s">
        <v>29</v>
      </c>
      <c r="F18" s="109"/>
      <c r="G18" s="101"/>
      <c r="H18" s="102"/>
      <c r="I18" s="103"/>
      <c r="J18" s="103"/>
      <c r="K18" s="103"/>
      <c r="L18" s="103"/>
      <c r="M18" s="103"/>
      <c r="N18" s="103"/>
      <c r="O18" s="103"/>
      <c r="P18" s="103"/>
      <c r="Q18" s="104"/>
    </row>
    <row r="19" ht="18.75" customHeight="1" spans="1:21">
      <c r="A19" s="113" t="s">
        <v>30</v>
      </c>
      <c r="B19" s="114"/>
      <c r="C19" s="112">
        <v>0.94</v>
      </c>
      <c r="D19" s="112" t="s">
        <v>25</v>
      </c>
      <c r="E19" s="106" t="s">
        <v>31</v>
      </c>
      <c r="F19" s="109"/>
      <c r="G19" s="101"/>
      <c r="H19" s="102"/>
      <c r="I19" s="103"/>
      <c r="J19" s="103"/>
      <c r="K19" s="103"/>
      <c r="L19" s="103"/>
      <c r="M19" s="103"/>
      <c r="N19" s="103"/>
      <c r="O19" s="103"/>
      <c r="P19" s="103"/>
      <c r="Q19" s="104"/>
    </row>
    <row r="20" spans="1:21">
      <c r="A20" s="115" t="s">
        <v>32</v>
      </c>
      <c r="B20" s="111" t="s">
        <v>33</v>
      </c>
      <c r="C20" s="128" t="s">
        <v>34</v>
      </c>
      <c r="D20" s="116" t="s">
        <v>35</v>
      </c>
      <c r="E20" s="106" t="s">
        <v>36</v>
      </c>
      <c r="F20" s="117">
        <f>$C$11*$C$13/1000/2</f>
        <v>3.2</v>
      </c>
      <c r="G20" s="101"/>
      <c r="H20" s="102"/>
      <c r="I20" s="103"/>
      <c r="J20" s="103"/>
      <c r="K20" s="103"/>
      <c r="L20" s="103"/>
      <c r="M20" s="103"/>
      <c r="N20" s="103"/>
      <c r="O20" s="103"/>
      <c r="P20" s="103"/>
      <c r="Q20" s="104"/>
    </row>
    <row r="21" spans="1:21">
      <c r="A21" s="115"/>
      <c r="B21" s="111" t="s">
        <v>37</v>
      </c>
      <c r="C21" s="128" t="s">
        <v>34</v>
      </c>
      <c r="D21" s="116" t="s">
        <v>35</v>
      </c>
      <c r="E21" s="106" t="s">
        <v>36</v>
      </c>
      <c r="F21" s="117">
        <f>$C$12*$C$14/1000/2</f>
        <v>2.4</v>
      </c>
      <c r="G21" s="101"/>
      <c r="H21" s="102"/>
      <c r="I21" s="103"/>
      <c r="J21" s="103"/>
      <c r="K21" s="103"/>
      <c r="L21" s="103"/>
      <c r="M21" s="103"/>
      <c r="N21" s="103"/>
      <c r="O21" s="103"/>
      <c r="P21" s="103"/>
      <c r="Q21" s="104"/>
    </row>
    <row r="22" spans="1:21">
      <c r="A22" s="115"/>
      <c r="B22" s="111" t="s">
        <v>38</v>
      </c>
      <c r="C22" s="116" t="s">
        <v>39</v>
      </c>
      <c r="D22" s="116" t="s">
        <v>35</v>
      </c>
      <c r="E22" s="106" t="s">
        <v>36</v>
      </c>
      <c r="F22" s="117">
        <f>SQRT(F20^2+F21^2)</f>
        <v>4</v>
      </c>
      <c r="G22" s="101"/>
      <c r="H22" s="102"/>
      <c r="I22" s="103"/>
      <c r="J22" s="103"/>
      <c r="K22" s="103"/>
      <c r="L22" s="103"/>
      <c r="M22" s="103"/>
      <c r="N22" s="103"/>
      <c r="O22" s="103"/>
      <c r="P22" s="103"/>
      <c r="Q22" s="104"/>
    </row>
    <row r="23" spans="1:21">
      <c r="A23" s="115" t="s">
        <v>40</v>
      </c>
      <c r="B23" s="118" t="s">
        <v>41</v>
      </c>
      <c r="C23" s="112" t="s">
        <v>42</v>
      </c>
      <c r="D23" s="112"/>
      <c r="E23" s="129" t="s">
        <v>43</v>
      </c>
      <c r="F23" s="109"/>
      <c r="G23" s="101"/>
      <c r="H23" s="102"/>
      <c r="I23" s="103"/>
      <c r="J23" s="103"/>
      <c r="K23" s="103"/>
      <c r="L23" s="103"/>
      <c r="M23" s="103"/>
      <c r="N23" s="103"/>
      <c r="O23" s="103"/>
      <c r="P23" s="103"/>
      <c r="Q23" s="104"/>
    </row>
    <row r="24" spans="1:21">
      <c r="A24" s="115"/>
      <c r="B24" s="118"/>
      <c r="C24" s="112" t="s">
        <v>44</v>
      </c>
      <c r="D24" s="112"/>
      <c r="E24" s="129" t="s">
        <v>45</v>
      </c>
      <c r="F24" s="109"/>
      <c r="G24" s="101"/>
      <c r="H24" s="102"/>
      <c r="I24" s="103"/>
      <c r="J24" s="103"/>
      <c r="K24" s="103"/>
      <c r="L24" s="103"/>
      <c r="M24" s="103"/>
      <c r="N24" s="103"/>
      <c r="O24" s="103"/>
      <c r="P24" s="103"/>
      <c r="Q24" s="104"/>
    </row>
    <row r="25" spans="1:21">
      <c r="A25" s="115"/>
      <c r="B25" s="118"/>
      <c r="C25" s="112" t="s">
        <v>46</v>
      </c>
      <c r="D25" s="112"/>
      <c r="E25" s="129" t="s">
        <v>47</v>
      </c>
      <c r="F25" s="109"/>
      <c r="G25" s="101"/>
      <c r="H25" s="102"/>
      <c r="I25" s="103"/>
      <c r="J25" s="103"/>
      <c r="K25" s="103"/>
      <c r="L25" s="103"/>
      <c r="M25" s="103"/>
      <c r="N25" s="103"/>
      <c r="O25" s="103"/>
      <c r="P25" s="103"/>
      <c r="Q25" s="104"/>
    </row>
    <row r="26" spans="1:21">
      <c r="A26" s="115"/>
      <c r="B26" s="118" t="s">
        <v>48</v>
      </c>
      <c r="C26" s="112" t="s">
        <v>49</v>
      </c>
      <c r="D26" s="112"/>
      <c r="E26" s="129" t="s">
        <v>43</v>
      </c>
      <c r="F26" s="109"/>
      <c r="G26" s="101"/>
      <c r="H26" s="102"/>
      <c r="I26" s="103"/>
      <c r="J26" s="103"/>
      <c r="K26" s="103"/>
      <c r="L26" s="103"/>
      <c r="M26" s="103"/>
      <c r="N26" s="103"/>
      <c r="O26" s="103"/>
      <c r="P26" s="103"/>
      <c r="Q26" s="104"/>
    </row>
    <row r="27" spans="1:21">
      <c r="A27" s="115"/>
      <c r="B27" s="118"/>
      <c r="C27" s="112" t="s">
        <v>50</v>
      </c>
      <c r="D27" s="112"/>
      <c r="E27" s="129" t="s">
        <v>45</v>
      </c>
      <c r="F27" s="109"/>
      <c r="G27" s="101"/>
      <c r="H27" s="102"/>
      <c r="I27" s="103"/>
      <c r="J27" s="103"/>
      <c r="K27" s="103"/>
      <c r="L27" s="103"/>
      <c r="M27" s="103"/>
      <c r="N27" s="103"/>
      <c r="O27" s="103"/>
      <c r="P27" s="103"/>
      <c r="Q27" s="104"/>
    </row>
    <row r="28" spans="1:21">
      <c r="A28" s="115"/>
      <c r="B28" s="118"/>
      <c r="C28" s="112" t="s">
        <v>51</v>
      </c>
      <c r="D28" s="112"/>
      <c r="E28" s="129" t="s">
        <v>47</v>
      </c>
      <c r="F28" s="109"/>
      <c r="H28" s="102"/>
      <c r="I28" s="103"/>
      <c r="J28" s="103"/>
      <c r="K28" s="103"/>
      <c r="L28" s="103"/>
      <c r="M28" s="103"/>
      <c r="N28" s="103"/>
      <c r="O28" s="103"/>
      <c r="P28" s="103"/>
      <c r="Q28" s="104"/>
    </row>
    <row r="29" spans="1:21">
      <c r="A29" s="115" t="s">
        <v>52</v>
      </c>
      <c r="B29" s="111" t="s">
        <v>53</v>
      </c>
      <c r="C29" s="112" t="s">
        <v>54</v>
      </c>
      <c r="D29" s="112"/>
      <c r="E29" s="106"/>
      <c r="F29" s="109"/>
      <c r="H29" s="102"/>
      <c r="I29" s="103"/>
      <c r="J29" s="103"/>
      <c r="K29" s="103"/>
      <c r="L29" s="103"/>
      <c r="M29" s="103"/>
      <c r="N29" s="103"/>
      <c r="O29" s="103"/>
      <c r="P29" s="103"/>
      <c r="Q29" s="104"/>
    </row>
    <row r="30" ht="15.75" spans="1:21">
      <c r="A30" s="115"/>
      <c r="B30" s="111" t="s">
        <v>55</v>
      </c>
      <c r="C30" s="112" t="s">
        <v>2</v>
      </c>
      <c r="D30" s="112"/>
      <c r="E30" s="106"/>
      <c r="F30" s="109"/>
      <c r="H30" s="119"/>
      <c r="I30" s="120"/>
      <c r="J30" s="120"/>
      <c r="K30" s="120"/>
      <c r="L30" s="120"/>
      <c r="M30" s="120"/>
      <c r="N30" s="120"/>
      <c r="O30" s="120"/>
      <c r="P30" s="120"/>
      <c r="Q30" s="121"/>
    </row>
    <row r="31" spans="1:21">
      <c r="A31" s="105" t="s">
        <v>56</v>
      </c>
      <c r="B31" s="106"/>
      <c r="C31" s="122">
        <v>0.32</v>
      </c>
      <c r="D31" s="122"/>
      <c r="E31" s="106"/>
      <c r="F31" s="109"/>
      <c r="U31" s="8" t="s">
        <v>2</v>
      </c>
    </row>
    <row r="32" spans="1:21">
      <c r="A32" s="105" t="s">
        <v>57</v>
      </c>
      <c r="B32" s="106"/>
      <c r="C32" s="112" t="s">
        <v>58</v>
      </c>
      <c r="D32" s="112" t="s">
        <v>35</v>
      </c>
      <c r="E32" s="106"/>
      <c r="F32" s="109"/>
    </row>
    <row r="33" spans="1:6">
      <c r="A33" s="105" t="s">
        <v>59</v>
      </c>
      <c r="B33" s="106"/>
      <c r="C33" s="112">
        <v>4.5</v>
      </c>
      <c r="D33" s="112" t="s">
        <v>25</v>
      </c>
      <c r="E33" s="106"/>
      <c r="F33" s="109"/>
    </row>
    <row r="34" ht="15.75" spans="1:6">
      <c r="A34" s="123" t="s">
        <v>60</v>
      </c>
      <c r="B34" s="124"/>
      <c r="C34" s="125"/>
      <c r="D34" s="125"/>
      <c r="E34" s="124"/>
      <c r="F34" s="126"/>
    </row>
    <row r="39" spans="1:6">
      <c r="A39" s="101"/>
      <c r="B39" s="103"/>
      <c r="C39" s="103"/>
      <c r="D39" s="103"/>
      <c r="E39" s="103"/>
      <c r="F39" s="103"/>
    </row>
    <row r="40" spans="1:6">
      <c r="A40" s="103"/>
      <c r="B40" s="103"/>
      <c r="C40" s="103"/>
      <c r="D40" s="103"/>
      <c r="E40" s="103"/>
      <c r="F40" s="103"/>
    </row>
    <row r="41" spans="1:6">
      <c r="A41" s="103"/>
      <c r="B41" s="103"/>
      <c r="C41" s="103"/>
      <c r="D41" s="103"/>
      <c r="E41" s="103"/>
      <c r="F41" s="103"/>
    </row>
    <row r="42" spans="1:6">
      <c r="A42" s="103"/>
      <c r="B42" s="103"/>
      <c r="C42" s="103"/>
      <c r="D42" s="103"/>
      <c r="E42" s="103"/>
      <c r="F42" s="103"/>
    </row>
    <row r="43" spans="1:6">
      <c r="A43" s="103"/>
      <c r="B43" s="103"/>
      <c r="C43" s="103"/>
      <c r="D43" s="103"/>
      <c r="E43" s="103"/>
      <c r="F43" s="103"/>
    </row>
    <row r="44" spans="1:6">
      <c r="A44" s="103"/>
      <c r="B44" s="103"/>
      <c r="C44" s="103"/>
      <c r="D44" s="103"/>
      <c r="E44" s="103"/>
      <c r="F44" s="103"/>
    </row>
    <row r="45" spans="1:6">
      <c r="A45" s="103"/>
      <c r="B45" s="103"/>
      <c r="C45" s="103"/>
      <c r="D45" s="103"/>
      <c r="E45" s="103"/>
      <c r="F45" s="103"/>
    </row>
    <row r="46" spans="1:6">
      <c r="A46" s="103"/>
      <c r="B46" s="103"/>
      <c r="C46" s="103"/>
      <c r="D46" s="103"/>
      <c r="E46" s="103"/>
      <c r="F46" s="103"/>
    </row>
    <row r="47" spans="1:6">
      <c r="A47" s="103"/>
      <c r="B47" s="103"/>
      <c r="C47" s="103"/>
      <c r="D47" s="103"/>
      <c r="E47" s="103"/>
      <c r="F47" s="103"/>
    </row>
    <row r="48" spans="1:6">
      <c r="A48" s="103"/>
      <c r="B48" s="103"/>
      <c r="C48" s="103"/>
      <c r="D48" s="103"/>
      <c r="E48" s="103"/>
      <c r="F48" s="103"/>
    </row>
    <row r="49" spans="1:6">
      <c r="A49" s="103"/>
      <c r="B49" s="103"/>
      <c r="C49" s="103"/>
      <c r="D49" s="103"/>
      <c r="E49" s="103"/>
      <c r="F49" s="103"/>
    </row>
    <row r="50" spans="1:6">
      <c r="A50" s="103"/>
      <c r="B50" s="103"/>
      <c r="C50" s="103"/>
      <c r="D50" s="103"/>
      <c r="E50" s="103"/>
      <c r="F50" s="103"/>
    </row>
    <row r="51" spans="1:6">
      <c r="A51" s="103"/>
      <c r="B51" s="103"/>
      <c r="C51" s="103"/>
      <c r="D51" s="103"/>
      <c r="E51" s="103"/>
      <c r="F51" s="103"/>
    </row>
    <row r="52" spans="1:6">
      <c r="A52" s="103"/>
      <c r="B52" s="103"/>
      <c r="C52" s="103"/>
      <c r="D52" s="103"/>
      <c r="E52" s="103"/>
      <c r="F52" s="103"/>
    </row>
    <row r="53" spans="1:6">
      <c r="A53" s="103"/>
      <c r="B53" s="103"/>
      <c r="C53" s="103"/>
      <c r="D53" s="103"/>
      <c r="E53" s="103"/>
      <c r="F53" s="103"/>
    </row>
    <row r="54" spans="1:6">
      <c r="A54" s="103"/>
      <c r="B54" s="103"/>
      <c r="C54" s="103"/>
      <c r="D54" s="103"/>
      <c r="E54" s="103"/>
      <c r="F54" s="103"/>
    </row>
    <row r="55" spans="1:6">
      <c r="A55" s="103"/>
      <c r="B55" s="103"/>
      <c r="C55" s="103"/>
      <c r="D55" s="103"/>
      <c r="E55" s="103"/>
      <c r="F55" s="103"/>
    </row>
    <row r="56" spans="1:6">
      <c r="A56" s="103"/>
      <c r="B56" s="103"/>
      <c r="C56" s="103"/>
      <c r="D56" s="103"/>
      <c r="E56" s="103"/>
      <c r="F56" s="103"/>
    </row>
    <row r="57" spans="1:6">
      <c r="A57" s="103"/>
      <c r="B57" s="103"/>
      <c r="C57" s="103"/>
      <c r="D57" s="103"/>
      <c r="E57" s="103"/>
      <c r="F57" s="103"/>
    </row>
    <row r="58" spans="1:6">
      <c r="A58" s="103"/>
      <c r="B58" s="103"/>
      <c r="C58" s="103"/>
      <c r="D58" s="103"/>
      <c r="E58" s="103"/>
      <c r="F58" s="103"/>
    </row>
    <row r="59" spans="1:6">
      <c r="A59" s="103"/>
      <c r="B59" s="103"/>
      <c r="C59" s="103"/>
      <c r="D59" s="103"/>
      <c r="E59" s="103"/>
      <c r="F59" s="103"/>
    </row>
    <row r="60" spans="1:6">
      <c r="A60" s="103"/>
      <c r="B60" s="103"/>
      <c r="C60" s="103"/>
      <c r="D60" s="103"/>
      <c r="E60" s="103"/>
      <c r="F60" s="103"/>
    </row>
    <row r="61" spans="1:6">
      <c r="A61" s="103"/>
      <c r="B61" s="103"/>
      <c r="C61" s="103"/>
      <c r="D61" s="103"/>
      <c r="E61" s="103"/>
      <c r="F61" s="103"/>
    </row>
    <row r="62" spans="1:6">
      <c r="A62" s="103"/>
      <c r="B62" s="103"/>
      <c r="C62" s="103"/>
      <c r="D62" s="103"/>
      <c r="E62" s="103"/>
      <c r="F62" s="103"/>
    </row>
  </sheetData>
  <mergeCells count="59"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5:B15"/>
    <mergeCell ref="C15:D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A31:B31"/>
    <mergeCell ref="C31:D31"/>
    <mergeCell ref="E31:F31"/>
    <mergeCell ref="A32:B32"/>
    <mergeCell ref="E32:F32"/>
    <mergeCell ref="A33:B33"/>
    <mergeCell ref="E33:F33"/>
    <mergeCell ref="A34:B34"/>
    <mergeCell ref="C34:D34"/>
    <mergeCell ref="E34:F34"/>
    <mergeCell ref="A11:A12"/>
    <mergeCell ref="A13:A14"/>
    <mergeCell ref="A20:A22"/>
    <mergeCell ref="A23:A28"/>
    <mergeCell ref="A29:A30"/>
    <mergeCell ref="B23:B25"/>
    <mergeCell ref="B26:B28"/>
    <mergeCell ref="F1:F2"/>
    <mergeCell ref="H7:Q30"/>
    <mergeCell ref="E11:F14"/>
  </mergeCells>
  <printOptions horizontalCentered="1"/>
  <pageMargins left="0.78740157480315" right="0.354330708661417" top="0.590551181102362" bottom="0.393700787401575" header="0.511811023622047" footer="0.511811023622047"/>
  <pageSetup paperSize="9" scale="73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S64"/>
  <sheetViews>
    <sheetView showGridLines="0" workbookViewId="0">
      <selection activeCell="P11" sqref="P11"/>
    </sheetView>
  </sheetViews>
  <sheetFormatPr defaultColWidth="10.125" defaultRowHeight="18.75"/>
  <cols>
    <col min="1" max="1" width="3.625" style="55" customWidth="1"/>
    <col min="2" max="2" width="4.625" style="55" customWidth="1"/>
    <col min="3" max="4" width="10.125" style="55" customWidth="1"/>
    <col min="5" max="5" width="12.375" style="55" customWidth="1"/>
    <col min="6" max="6" width="10.125" style="55" customWidth="1"/>
    <col min="7" max="7" width="13.625" style="55" customWidth="1"/>
    <col min="8" max="13" width="10" style="55" customWidth="1"/>
    <col min="14" max="16" width="10.125" style="55"/>
    <col min="17" max="17" width="10.5" style="55" customWidth="1"/>
    <col min="18" max="16384" width="10.125" style="55"/>
  </cols>
  <sheetData>
    <row r="4" s="53" customFormat="1" ht="19.5" spans="1:17">
      <c r="A4" s="56" t="s">
        <v>61</v>
      </c>
    </row>
    <row r="5" s="54" customFormat="1" ht="15.75" spans="1:17"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</row>
    <row r="6" customHeight="1" spans="1:17">
      <c r="B6" s="60"/>
      <c r="H6" s="61"/>
      <c r="M6" s="62"/>
    </row>
    <row r="7" customHeight="1" spans="1:17">
      <c r="B7" s="63"/>
      <c r="M7" s="62"/>
    </row>
    <row r="8" customHeight="1" spans="1:17">
      <c r="B8" s="63"/>
      <c r="M8" s="62"/>
    </row>
    <row r="9" customHeight="1" spans="1:17">
      <c r="B9" s="63"/>
      <c r="M9" s="62"/>
    </row>
    <row r="10" customHeight="1" spans="1:17">
      <c r="B10" s="63"/>
      <c r="M10" s="62"/>
    </row>
    <row r="11" customHeight="1" spans="1:17">
      <c r="B11" s="63"/>
      <c r="M11" s="62"/>
      <c r="Q11" s="64"/>
    </row>
    <row r="12" customHeight="1" spans="1:17">
      <c r="B12" s="63"/>
      <c r="M12" s="62"/>
      <c r="Q12" s="64"/>
    </row>
    <row r="13" customHeight="1" spans="1:17">
      <c r="B13" s="63"/>
      <c r="M13" s="62"/>
      <c r="Q13" s="64"/>
    </row>
    <row r="14" customHeight="1" spans="1:17">
      <c r="B14" s="63"/>
      <c r="M14" s="62"/>
      <c r="P14" s="65"/>
      <c r="Q14" s="64"/>
    </row>
    <row r="15" customHeight="1" spans="1:17">
      <c r="B15" s="63"/>
      <c r="M15" s="62"/>
      <c r="Q15" s="64"/>
    </row>
    <row r="16" customHeight="1" spans="1:17">
      <c r="B16" s="63"/>
      <c r="M16" s="62"/>
      <c r="P16" s="65"/>
      <c r="Q16" s="64"/>
    </row>
    <row r="17" customHeight="1" spans="2:19">
      <c r="B17" s="63"/>
      <c r="M17" s="62"/>
      <c r="P17" s="65"/>
      <c r="Q17" s="64"/>
    </row>
    <row r="18" customHeight="1" spans="2:19">
      <c r="B18" s="63"/>
      <c r="M18" s="62"/>
      <c r="P18" s="65"/>
      <c r="Q18" s="64"/>
    </row>
    <row r="19" customHeight="1" spans="2:19">
      <c r="B19" s="63"/>
      <c r="M19" s="62"/>
      <c r="P19" s="65"/>
      <c r="Q19" s="64"/>
    </row>
    <row r="20" customHeight="1" spans="2:19">
      <c r="B20" s="63"/>
      <c r="M20" s="62"/>
      <c r="P20" s="66"/>
      <c r="Q20" s="64"/>
      <c r="R20" s="67"/>
    </row>
    <row r="21" customHeight="1" spans="2:19">
      <c r="B21" s="63"/>
      <c r="I21" s="68" t="s">
        <v>62</v>
      </c>
      <c r="J21" s="68" t="s">
        <v>63</v>
      </c>
      <c r="K21" s="68" t="s">
        <v>64</v>
      </c>
      <c r="M21" s="62"/>
      <c r="P21" s="69"/>
      <c r="Q21" s="64"/>
    </row>
    <row r="22" customHeight="1" spans="2:19">
      <c r="B22" s="63"/>
      <c r="I22" s="68">
        <v>0</v>
      </c>
      <c r="J22" s="70">
        <v>0</v>
      </c>
      <c r="K22" s="71">
        <v>1</v>
      </c>
      <c r="M22" s="62"/>
      <c r="P22" s="69"/>
      <c r="Q22" s="64"/>
    </row>
    <row r="23" customHeight="1" spans="2:19">
      <c r="B23" s="63"/>
      <c r="I23" s="68">
        <v>0.1</v>
      </c>
      <c r="J23" s="70">
        <v>0.2214</v>
      </c>
      <c r="K23" s="71">
        <v>0.983493</v>
      </c>
      <c r="M23" s="62"/>
      <c r="P23" s="69"/>
      <c r="Q23" s="64"/>
    </row>
    <row r="24" customHeight="1" spans="2:19">
      <c r="B24" s="63"/>
      <c r="I24" s="68">
        <v>0.2</v>
      </c>
      <c r="J24" s="70">
        <v>0.4428</v>
      </c>
      <c r="K24" s="71">
        <v>0.935017</v>
      </c>
      <c r="M24" s="62"/>
      <c r="P24" s="69"/>
      <c r="Q24" s="64"/>
    </row>
    <row r="25" customHeight="1" spans="2:19">
      <c r="B25" s="63"/>
      <c r="I25" s="68">
        <v>0.3</v>
      </c>
      <c r="J25" s="70">
        <v>0.6642</v>
      </c>
      <c r="K25" s="71">
        <v>0.860624</v>
      </c>
      <c r="M25" s="62"/>
      <c r="P25" s="66"/>
      <c r="Q25" s="67"/>
      <c r="R25" s="67"/>
    </row>
    <row r="26" customHeight="1" spans="2:19">
      <c r="B26" s="63"/>
      <c r="I26" s="68">
        <v>0.4</v>
      </c>
      <c r="J26" s="70">
        <v>0.8856</v>
      </c>
      <c r="K26" s="71">
        <v>0.777851</v>
      </c>
      <c r="M26" s="62"/>
      <c r="P26" s="66"/>
      <c r="Q26" s="64"/>
    </row>
    <row r="27" customHeight="1" spans="2:19">
      <c r="B27" s="63"/>
      <c r="I27" s="68">
        <v>0.5</v>
      </c>
      <c r="J27" s="70">
        <v>1.107</v>
      </c>
      <c r="K27" s="71">
        <v>0.706751</v>
      </c>
      <c r="M27" s="62"/>
      <c r="P27" s="66"/>
      <c r="Q27" s="64"/>
    </row>
    <row r="28" customHeight="1" spans="2:19">
      <c r="B28" s="63"/>
      <c r="I28" s="68">
        <v>0.6</v>
      </c>
      <c r="J28" s="70">
        <v>1.3284</v>
      </c>
      <c r="K28" s="71">
        <v>0.636614</v>
      </c>
      <c r="M28" s="62"/>
      <c r="P28" s="66"/>
      <c r="Q28" s="64"/>
      <c r="S28" s="67"/>
    </row>
    <row r="29" customHeight="1" spans="2:19">
      <c r="B29" s="63"/>
      <c r="I29" s="68">
        <v>0.7</v>
      </c>
      <c r="J29" s="70">
        <v>1.5498</v>
      </c>
      <c r="K29" s="71">
        <v>0.55513</v>
      </c>
      <c r="M29" s="62"/>
      <c r="P29" s="66"/>
      <c r="Q29" s="64"/>
    </row>
    <row r="30" customHeight="1" spans="2:19">
      <c r="B30" s="63"/>
      <c r="I30" s="68">
        <v>0.8</v>
      </c>
      <c r="J30" s="70">
        <v>1.7712</v>
      </c>
      <c r="K30" s="71">
        <v>0.489457</v>
      </c>
      <c r="M30" s="62"/>
      <c r="P30" s="66"/>
      <c r="Q30" s="64"/>
    </row>
    <row r="31" customHeight="1" spans="2:19">
      <c r="B31" s="63"/>
      <c r="I31" s="68">
        <v>0.9</v>
      </c>
      <c r="J31" s="70">
        <v>1.9926</v>
      </c>
      <c r="K31" s="71">
        <v>0.430239</v>
      </c>
      <c r="M31" s="62"/>
      <c r="Q31" s="67"/>
    </row>
    <row r="32" customHeight="1" spans="2:19">
      <c r="B32" s="63"/>
      <c r="I32" s="68">
        <v>1</v>
      </c>
      <c r="J32" s="70">
        <v>2.214</v>
      </c>
      <c r="K32" s="71">
        <v>0.328032</v>
      </c>
      <c r="M32" s="62"/>
    </row>
    <row r="33" customHeight="1" spans="2:13">
      <c r="B33" s="63"/>
      <c r="I33" s="68" t="s">
        <v>65</v>
      </c>
      <c r="J33" s="68">
        <v>2.25</v>
      </c>
      <c r="K33" s="72">
        <v>0.296463</v>
      </c>
      <c r="M33" s="62"/>
    </row>
    <row r="34" customHeight="1" spans="2:13">
      <c r="B34" s="63"/>
      <c r="M34" s="62"/>
    </row>
    <row r="35" customHeight="1" spans="2:13">
      <c r="B35" s="73"/>
      <c r="K35" s="74"/>
      <c r="L35" s="74"/>
      <c r="M35" s="75"/>
    </row>
    <row r="36" customHeight="1" spans="2:13">
      <c r="B36" s="73"/>
      <c r="C36" s="61" t="s">
        <v>66</v>
      </c>
      <c r="D36" s="74"/>
      <c r="E36" s="74"/>
      <c r="F36" s="74"/>
      <c r="G36" s="74"/>
      <c r="H36" s="61" t="s">
        <v>67</v>
      </c>
      <c r="I36" s="74"/>
      <c r="J36" s="74"/>
      <c r="K36" s="74"/>
      <c r="L36" s="74"/>
      <c r="M36" s="75"/>
    </row>
    <row r="37" customHeight="1" spans="2:13"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5"/>
    </row>
    <row r="38" customHeight="1" spans="2:13"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5"/>
    </row>
    <row r="39" customHeight="1" spans="2:13"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5"/>
    </row>
    <row r="40" customHeight="1" spans="2:13"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5"/>
    </row>
    <row r="41" customHeight="1" spans="2:13"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5"/>
    </row>
    <row r="42" customHeight="1" spans="2:13"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5"/>
    </row>
    <row r="43" customHeight="1" spans="2:13"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5"/>
    </row>
    <row r="44" customHeight="1" spans="2:13"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</row>
    <row r="45" customHeight="1" spans="2:13"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customHeight="1" spans="2:13"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5"/>
    </row>
    <row r="47" customHeight="1" spans="2:13"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5"/>
    </row>
    <row r="48" customHeight="1" spans="2:13">
      <c r="B48" s="73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5"/>
    </row>
    <row r="49" customHeight="1" spans="2:13">
      <c r="B49" s="73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5"/>
    </row>
    <row r="50" customHeight="1" spans="2:13">
      <c r="B50" s="73"/>
      <c r="C50" s="76" t="s">
        <v>68</v>
      </c>
      <c r="D50" s="74"/>
      <c r="E50" s="74"/>
      <c r="F50" s="74"/>
      <c r="G50" s="74"/>
      <c r="H50" s="74"/>
      <c r="I50" s="74"/>
      <c r="J50" s="74"/>
      <c r="K50" s="74"/>
      <c r="L50" s="74"/>
      <c r="M50" s="75"/>
    </row>
    <row r="51" customHeight="1" spans="2:13">
      <c r="B51" s="73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5"/>
    </row>
    <row r="52" customHeight="1" spans="2:13">
      <c r="B52" s="73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5"/>
    </row>
    <row r="53" spans="2:13">
      <c r="B53" s="73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5"/>
    </row>
    <row r="54" spans="2:13"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5"/>
    </row>
    <row r="55" spans="2:13">
      <c r="B55" s="73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5"/>
    </row>
    <row r="56" spans="2:13">
      <c r="B56" s="73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5"/>
    </row>
    <row r="57" spans="2:13">
      <c r="B57" s="73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5"/>
    </row>
    <row r="58" spans="2:13"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5"/>
    </row>
    <row r="59" spans="2:13">
      <c r="B59" s="73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5"/>
    </row>
    <row r="60" spans="2:13">
      <c r="B60" s="73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5"/>
    </row>
    <row r="61" spans="2:13">
      <c r="B61" s="73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5"/>
    </row>
    <row r="62" spans="2:13"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5"/>
    </row>
    <row r="63" spans="2:13">
      <c r="B63" s="77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9"/>
    </row>
    <row r="64" ht="19.5" spans="2:13">
      <c r="B64" s="80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2"/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scale="7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2:H54"/>
  <sheetViews>
    <sheetView zoomScale="115" zoomScaleNormal="115" topLeftCell="A31" workbookViewId="0">
      <selection activeCell="I18" sqref="I18"/>
    </sheetView>
  </sheetViews>
  <sheetFormatPr defaultColWidth="9" defaultRowHeight="15" outlineLevelCol="7"/>
  <cols>
    <col min="1" max="5" width="16.625" style="8" customWidth="1"/>
    <col min="6" max="7" width="9" style="8"/>
    <col min="8" max="8" width="9" style="8" hidden="1" customWidth="1"/>
    <col min="9" max="16384" width="9" style="8"/>
  </cols>
  <sheetData>
    <row r="2" ht="18.75" spans="1:5">
      <c r="A2" s="9" t="s">
        <v>69</v>
      </c>
    </row>
    <row r="4" ht="15.75" spans="1:5">
      <c r="A4" s="14" t="s">
        <v>70</v>
      </c>
      <c r="B4" s="15"/>
      <c r="C4" s="16">
        <f>Specification!C16</f>
        <v>1.2</v>
      </c>
      <c r="D4" s="17"/>
      <c r="E4" s="17"/>
    </row>
    <row r="5" ht="15.75" spans="1:5">
      <c r="A5" s="14" t="s">
        <v>71</v>
      </c>
      <c r="B5" s="15"/>
      <c r="C5" s="18">
        <f>Specification!C17</f>
        <v>2.2</v>
      </c>
      <c r="D5" s="17"/>
      <c r="E5" s="17"/>
    </row>
    <row r="6" ht="15.75" spans="1:5">
      <c r="A6" s="19" t="s">
        <v>72</v>
      </c>
      <c r="B6" s="14" t="s">
        <v>16</v>
      </c>
      <c r="C6" s="20">
        <f>Specification!C11</f>
        <v>8000</v>
      </c>
      <c r="D6" s="21" t="s">
        <v>73</v>
      </c>
      <c r="E6" s="17"/>
    </row>
    <row r="7" ht="15.75" spans="1:5">
      <c r="A7" s="22"/>
      <c r="B7" s="14" t="s">
        <v>19</v>
      </c>
      <c r="C7" s="20">
        <f>Specification!C12</f>
        <v>6000</v>
      </c>
      <c r="D7" s="23"/>
      <c r="E7" s="17"/>
    </row>
    <row r="8" ht="15.75" spans="1:5">
      <c r="A8" s="24"/>
      <c r="B8" s="14" t="s">
        <v>74</v>
      </c>
      <c r="C8" s="16">
        <f>Specification!C14</f>
        <v>0.8</v>
      </c>
      <c r="D8" s="14" t="s">
        <v>21</v>
      </c>
      <c r="E8" s="17"/>
    </row>
    <row r="9" ht="15.75" spans="1:5">
      <c r="A9" s="25" t="s">
        <v>75</v>
      </c>
      <c r="B9" s="14" t="s">
        <v>76</v>
      </c>
      <c r="C9" s="26">
        <f>C7/2</f>
        <v>3000</v>
      </c>
      <c r="D9" s="14" t="s">
        <v>77</v>
      </c>
      <c r="E9" s="14" t="s">
        <v>78</v>
      </c>
    </row>
    <row r="10" ht="15.75" spans="1:5">
      <c r="A10" s="25"/>
      <c r="B10" s="14" t="s">
        <v>79</v>
      </c>
      <c r="C10" s="27">
        <f>($C$9/$C$7)*1000/$C$8/2</f>
        <v>312.5</v>
      </c>
      <c r="D10" s="14" t="s">
        <v>80</v>
      </c>
      <c r="E10" s="28" t="s">
        <v>81</v>
      </c>
    </row>
    <row r="11" ht="15.75" spans="1:5">
      <c r="A11" s="25"/>
      <c r="B11" s="14" t="s">
        <v>82</v>
      </c>
      <c r="C11" s="29">
        <f>$C$7/$C$9*$C$8</f>
        <v>1.6</v>
      </c>
      <c r="D11" s="14" t="s">
        <v>21</v>
      </c>
      <c r="E11" s="30"/>
    </row>
    <row r="12" hidden="1" spans="1:5">
      <c r="A12" s="31" t="s">
        <v>83</v>
      </c>
      <c r="B12" s="32"/>
      <c r="C12" s="33">
        <f>($C$7/C9*$C$5*$C$8/1000)*2</f>
        <v>0.00704</v>
      </c>
      <c r="D12" s="31" t="s">
        <v>25</v>
      </c>
      <c r="E12" s="34"/>
    </row>
    <row r="13" hidden="1" spans="1:5">
      <c r="A13" s="31" t="s">
        <v>84</v>
      </c>
      <c r="B13" s="32"/>
      <c r="C13" s="35">
        <f>$C$4^2/($C$5*2*$C$8/1000)</f>
        <v>409.090909090909</v>
      </c>
      <c r="D13" s="31" t="s">
        <v>25</v>
      </c>
      <c r="E13" s="34"/>
    </row>
    <row r="16" ht="31.5" customHeight="1" spans="1:5">
      <c r="A16" s="36" t="s">
        <v>85</v>
      </c>
      <c r="B16" s="37" t="s">
        <v>86</v>
      </c>
      <c r="C16" s="37" t="s">
        <v>87</v>
      </c>
      <c r="D16" s="38" t="s">
        <v>88</v>
      </c>
      <c r="E16" s="39"/>
    </row>
    <row r="17" ht="15.75" spans="1:8">
      <c r="A17" s="40" t="s">
        <v>89</v>
      </c>
      <c r="B17" s="41">
        <v>0</v>
      </c>
      <c r="C17" s="42" t="s">
        <v>12</v>
      </c>
      <c r="D17" s="43" t="s">
        <v>12</v>
      </c>
    </row>
    <row r="18" spans="1:8">
      <c r="A18" s="44">
        <v>10</v>
      </c>
      <c r="B18" s="45">
        <f>$C$4^2/($C$4-A18*1000)</f>
        <v>-0.000144017282073849</v>
      </c>
      <c r="C18" s="45" t="str">
        <f>IF(H18&gt;=0,H18,"INF")</f>
        <v>INF</v>
      </c>
      <c r="D18" s="46">
        <f>(1/(1/$C$4-1/($C$4-B18+$C$12/2))/1000)</f>
        <v>0.39421124671141</v>
      </c>
      <c r="H18" s="8">
        <f>(1/(1/$C$4-1/($C$4-B18-$C$12/2))/1000)</f>
        <v>-0.425342467872776</v>
      </c>
    </row>
    <row r="19" spans="1:8">
      <c r="A19" s="44">
        <v>5</v>
      </c>
      <c r="B19" s="45">
        <f t="shared" ref="B19:B54" si="0">$C$4^2/($C$4-A19*1000)</f>
        <v>-0.000288069136592782</v>
      </c>
      <c r="C19" s="45" t="str">
        <f t="shared" ref="C19:C54" si="1">IF(H19&gt;=0,H19,"INF")</f>
        <v>INF</v>
      </c>
      <c r="D19" s="46">
        <f t="shared" ref="D19:D54" si="2">(1/(1/$C$4-1/($C$4-B19+$C$12/2))/1000)</f>
        <v>0.379344395059076</v>
      </c>
      <c r="H19" s="8">
        <f t="shared" ref="H19:H54" si="3">(1/(1/$C$4-1/($C$4-B19-$C$12/2))/1000)</f>
        <v>-0.444354085424312</v>
      </c>
    </row>
    <row r="20" spans="1:8">
      <c r="A20" s="44">
        <v>4</v>
      </c>
      <c r="B20" s="45">
        <f t="shared" si="0"/>
        <v>-0.000360108032409723</v>
      </c>
      <c r="C20" s="45" t="str">
        <f t="shared" si="1"/>
        <v>INF</v>
      </c>
      <c r="D20" s="46">
        <f t="shared" si="2"/>
        <v>0.372323687271573</v>
      </c>
      <c r="H20" s="8">
        <f t="shared" si="3"/>
        <v>-0.454511782165196</v>
      </c>
    </row>
    <row r="21" spans="1:8">
      <c r="A21" s="44">
        <v>3</v>
      </c>
      <c r="B21" s="45">
        <f t="shared" si="0"/>
        <v>-0.000480192076830732</v>
      </c>
      <c r="C21" s="45" t="str">
        <f t="shared" si="1"/>
        <v>INF</v>
      </c>
      <c r="D21" s="46">
        <f t="shared" si="2"/>
        <v>0.361182713915308</v>
      </c>
      <c r="H21" s="8">
        <f t="shared" si="3"/>
        <v>-0.472514141286498</v>
      </c>
    </row>
    <row r="22" spans="1:8">
      <c r="A22" s="44">
        <v>2</v>
      </c>
      <c r="B22" s="45">
        <f t="shared" si="0"/>
        <v>-0.000720432259355613</v>
      </c>
      <c r="C22" s="47" t="str">
        <f t="shared" si="1"/>
        <v>INF</v>
      </c>
      <c r="D22" s="46">
        <f t="shared" si="2"/>
        <v>0.340788021203006</v>
      </c>
      <c r="H22" s="8">
        <f t="shared" si="3"/>
        <v>-0.513165121119964</v>
      </c>
    </row>
    <row r="23" spans="1:8">
      <c r="A23" s="44">
        <v>1.9</v>
      </c>
      <c r="B23" s="45">
        <f t="shared" si="0"/>
        <v>-0.000758373709711397</v>
      </c>
      <c r="C23" s="47" t="str">
        <f t="shared" si="1"/>
        <v>INF</v>
      </c>
      <c r="D23" s="46">
        <f t="shared" si="2"/>
        <v>0.337776488568858</v>
      </c>
      <c r="H23" s="8">
        <f t="shared" si="3"/>
        <v>-0.520231884199505</v>
      </c>
    </row>
    <row r="24" spans="1:8">
      <c r="A24" s="44">
        <v>1.8</v>
      </c>
      <c r="B24" s="45">
        <f t="shared" si="0"/>
        <v>-0.000800533689126084</v>
      </c>
      <c r="C24" s="47" t="str">
        <f t="shared" si="1"/>
        <v>INF</v>
      </c>
      <c r="D24" s="46">
        <f t="shared" si="2"/>
        <v>0.334492158703489</v>
      </c>
      <c r="H24" s="8">
        <f t="shared" si="3"/>
        <v>-0.528315660569913</v>
      </c>
    </row>
    <row r="25" spans="1:8">
      <c r="A25" s="44">
        <v>1.7</v>
      </c>
      <c r="B25" s="45">
        <f t="shared" si="0"/>
        <v>-0.000847657169766894</v>
      </c>
      <c r="C25" s="47" t="str">
        <f t="shared" si="1"/>
        <v>INF</v>
      </c>
      <c r="D25" s="46">
        <f t="shared" si="2"/>
        <v>0.330896206462305</v>
      </c>
      <c r="H25" s="8">
        <f t="shared" si="3"/>
        <v>-0.537653018298716</v>
      </c>
    </row>
    <row r="26" spans="1:8">
      <c r="A26" s="44">
        <v>1.6</v>
      </c>
      <c r="B26" s="45">
        <f t="shared" si="0"/>
        <v>-0.000900675506629972</v>
      </c>
      <c r="C26" s="47" t="str">
        <f t="shared" si="1"/>
        <v>INF</v>
      </c>
      <c r="D26" s="46">
        <f t="shared" si="2"/>
        <v>0.326942072187917</v>
      </c>
      <c r="H26" s="8">
        <f t="shared" si="3"/>
        <v>-0.548560063575495</v>
      </c>
    </row>
    <row r="27" spans="1:8">
      <c r="A27" s="44">
        <v>1.5</v>
      </c>
      <c r="B27" s="45">
        <f t="shared" si="0"/>
        <v>-0.000960768614891914</v>
      </c>
      <c r="C27" s="47" t="str">
        <f t="shared" si="1"/>
        <v>INF</v>
      </c>
      <c r="D27" s="46">
        <f t="shared" si="2"/>
        <v>0.322573434730415</v>
      </c>
      <c r="H27" s="8">
        <f t="shared" si="3"/>
        <v>-0.561468935829384</v>
      </c>
    </row>
    <row r="28" spans="1:8">
      <c r="A28" s="44">
        <v>1.4</v>
      </c>
      <c r="B28" s="45">
        <f t="shared" si="0"/>
        <v>-0.00102945381755791</v>
      </c>
      <c r="C28" s="47" t="str">
        <f t="shared" si="1"/>
        <v>INF</v>
      </c>
      <c r="D28" s="46">
        <f t="shared" si="2"/>
        <v>0.317721511756545</v>
      </c>
      <c r="H28" s="8">
        <f t="shared" si="3"/>
        <v>-0.576986427600392</v>
      </c>
    </row>
    <row r="29" spans="1:8">
      <c r="A29" s="44">
        <v>1.3</v>
      </c>
      <c r="B29" s="45">
        <f t="shared" si="0"/>
        <v>-0.00110871573760394</v>
      </c>
      <c r="C29" s="47" t="str">
        <f t="shared" si="1"/>
        <v>INF</v>
      </c>
      <c r="D29" s="46">
        <f t="shared" si="2"/>
        <v>0.31230141162944</v>
      </c>
      <c r="H29" s="8">
        <f t="shared" si="3"/>
        <v>-0.595992136346928</v>
      </c>
    </row>
    <row r="30" spans="1:8">
      <c r="A30" s="44">
        <v>1.2</v>
      </c>
      <c r="B30" s="45">
        <f t="shared" si="0"/>
        <v>-0.0012012012012012</v>
      </c>
      <c r="C30" s="47" t="str">
        <f t="shared" si="1"/>
        <v>INF</v>
      </c>
      <c r="D30" s="46">
        <f t="shared" si="2"/>
        <v>0.306207123956851</v>
      </c>
      <c r="H30" s="8">
        <f t="shared" si="3"/>
        <v>-0.619811189390813</v>
      </c>
    </row>
    <row r="31" spans="1:8">
      <c r="A31" s="44">
        <v>1.1</v>
      </c>
      <c r="B31" s="45">
        <f t="shared" si="0"/>
        <v>-0.00131052056789225</v>
      </c>
      <c r="C31" s="47" t="str">
        <f t="shared" si="1"/>
        <v>INF</v>
      </c>
      <c r="D31" s="46">
        <f t="shared" si="2"/>
        <v>0.299304516844716</v>
      </c>
      <c r="H31" s="8">
        <f t="shared" si="3"/>
        <v>-0.650537227816764</v>
      </c>
    </row>
    <row r="32" spans="1:8">
      <c r="A32" s="44">
        <v>1</v>
      </c>
      <c r="B32" s="45">
        <f t="shared" si="0"/>
        <v>-0.00144173007609131</v>
      </c>
      <c r="C32" s="47" t="str">
        <f t="shared" si="1"/>
        <v>INF</v>
      </c>
      <c r="D32" s="46">
        <f t="shared" si="2"/>
        <v>0.291421349794659</v>
      </c>
      <c r="H32" s="8">
        <f t="shared" si="3"/>
        <v>-0.691684010606174</v>
      </c>
    </row>
    <row r="33" spans="1:8">
      <c r="A33" s="44">
        <v>0.9</v>
      </c>
      <c r="B33" s="45">
        <f t="shared" si="0"/>
        <v>-0.00160213618157543</v>
      </c>
      <c r="C33" s="47" t="str">
        <f t="shared" si="1"/>
        <v>INF</v>
      </c>
      <c r="D33" s="46">
        <f t="shared" si="2"/>
        <v>0.282332704979561</v>
      </c>
      <c r="H33" s="8">
        <f t="shared" si="3"/>
        <v>-0.749635375362048</v>
      </c>
    </row>
    <row r="34" spans="1:8">
      <c r="A34" s="44">
        <v>0.8</v>
      </c>
      <c r="B34" s="45">
        <f t="shared" si="0"/>
        <v>-0.00180270405608413</v>
      </c>
      <c r="C34" s="47" t="str">
        <f t="shared" si="1"/>
        <v>INF</v>
      </c>
      <c r="D34" s="46">
        <f t="shared" si="2"/>
        <v>0.271739181744288</v>
      </c>
      <c r="H34" s="8">
        <f t="shared" si="3"/>
        <v>-0.837327573014915</v>
      </c>
    </row>
    <row r="35" spans="1:8">
      <c r="A35" s="44">
        <v>0.7</v>
      </c>
      <c r="B35" s="45">
        <f t="shared" si="0"/>
        <v>-0.00206067544361763</v>
      </c>
      <c r="C35" s="47" t="str">
        <f t="shared" si="1"/>
        <v>INF</v>
      </c>
      <c r="D35" s="46">
        <f t="shared" si="2"/>
        <v>0.25923328191158</v>
      </c>
      <c r="H35" s="8">
        <f t="shared" si="3"/>
        <v>-0.985557876239552</v>
      </c>
    </row>
    <row r="36" spans="1:8">
      <c r="A36" s="44">
        <v>0.6</v>
      </c>
      <c r="B36" s="45">
        <f t="shared" si="0"/>
        <v>-0.00240480961923848</v>
      </c>
      <c r="C36" s="47" t="str">
        <f t="shared" si="1"/>
        <v>INF</v>
      </c>
      <c r="D36" s="46">
        <f t="shared" si="2"/>
        <v>0.244245784175782</v>
      </c>
      <c r="H36" s="8">
        <f t="shared" si="3"/>
        <v>-1.29005934445071</v>
      </c>
    </row>
    <row r="37" spans="1:8">
      <c r="A37" s="44">
        <v>0.5</v>
      </c>
      <c r="B37" s="45">
        <f t="shared" si="0"/>
        <v>-0.0028869286287089</v>
      </c>
      <c r="C37" s="47" t="str">
        <f t="shared" si="1"/>
        <v>INF</v>
      </c>
      <c r="D37" s="46">
        <f t="shared" si="2"/>
        <v>0.225956678816036</v>
      </c>
      <c r="H37" s="8">
        <f t="shared" si="3"/>
        <v>-2.27342505066934</v>
      </c>
    </row>
    <row r="38" spans="1:8">
      <c r="A38" s="48">
        <v>0.45</v>
      </c>
      <c r="B38" s="45">
        <f t="shared" si="0"/>
        <v>-0.00320855614973262</v>
      </c>
      <c r="C38" s="45" t="str">
        <f t="shared" si="1"/>
        <v>INF</v>
      </c>
      <c r="D38" s="49">
        <f t="shared" si="2"/>
        <v>0.215213224821977</v>
      </c>
      <c r="H38" s="8">
        <f t="shared" si="3"/>
        <v>-4.62242637362536</v>
      </c>
    </row>
    <row r="39" spans="1:8">
      <c r="A39" s="48">
        <v>0.4</v>
      </c>
      <c r="B39" s="45">
        <f t="shared" si="0"/>
        <v>-0.00361083249749248</v>
      </c>
      <c r="C39" s="45">
        <f t="shared" si="1"/>
        <v>15.8545568904648</v>
      </c>
      <c r="D39" s="49">
        <f t="shared" si="2"/>
        <v>0.203139955889635</v>
      </c>
      <c r="H39" s="8">
        <f t="shared" si="3"/>
        <v>15.8545568904648</v>
      </c>
    </row>
    <row r="40" spans="1:8">
      <c r="A40" s="48">
        <v>0.35</v>
      </c>
      <c r="B40" s="45">
        <f t="shared" si="0"/>
        <v>-0.00412844036697248</v>
      </c>
      <c r="C40" s="45">
        <f t="shared" si="1"/>
        <v>2.36790687575356</v>
      </c>
      <c r="D40" s="49">
        <f t="shared" si="2"/>
        <v>0.189473678149889</v>
      </c>
      <c r="H40" s="8">
        <f t="shared" si="3"/>
        <v>2.36790687575356</v>
      </c>
    </row>
    <row r="41" spans="1:8">
      <c r="A41" s="48">
        <v>0.3</v>
      </c>
      <c r="B41" s="45">
        <f t="shared" si="0"/>
        <v>-0.00481927710843373</v>
      </c>
      <c r="C41" s="45">
        <f t="shared" si="1"/>
        <v>1.10950860534129</v>
      </c>
      <c r="D41" s="49">
        <f t="shared" si="2"/>
        <v>0.173876837725384</v>
      </c>
      <c r="H41" s="8">
        <f t="shared" si="3"/>
        <v>1.10950860534129</v>
      </c>
    </row>
    <row r="42" spans="1:8">
      <c r="A42" s="48">
        <v>0.25</v>
      </c>
      <c r="B42" s="45">
        <f t="shared" si="0"/>
        <v>-0.00578778135048231</v>
      </c>
      <c r="C42" s="45">
        <f t="shared" si="1"/>
        <v>0.63618185117968</v>
      </c>
      <c r="D42" s="49">
        <f t="shared" si="2"/>
        <v>0.155909263762991</v>
      </c>
      <c r="H42" s="8">
        <f t="shared" si="3"/>
        <v>0.63618185117968</v>
      </c>
    </row>
    <row r="43" spans="1:8">
      <c r="A43" s="48">
        <v>0.2</v>
      </c>
      <c r="B43" s="45">
        <f t="shared" si="0"/>
        <v>-0.00724346076458752</v>
      </c>
      <c r="C43" s="45">
        <f t="shared" si="1"/>
        <v>0.38793698772263</v>
      </c>
      <c r="D43" s="49">
        <f t="shared" si="2"/>
        <v>0.134985966381529</v>
      </c>
      <c r="H43" s="8">
        <f t="shared" si="3"/>
        <v>0.38793698772263</v>
      </c>
    </row>
    <row r="44" spans="1:8">
      <c r="A44" s="48">
        <v>0.15</v>
      </c>
      <c r="B44" s="45">
        <f t="shared" si="0"/>
        <v>-0.00967741935483871</v>
      </c>
      <c r="C44" s="45">
        <f t="shared" si="1"/>
        <v>0.235064207879292</v>
      </c>
      <c r="D44" s="49">
        <f t="shared" si="2"/>
        <v>0.110312240907313</v>
      </c>
      <c r="H44" s="8">
        <f t="shared" si="3"/>
        <v>0.235064207879292</v>
      </c>
    </row>
    <row r="45" spans="1:8">
      <c r="A45" s="48">
        <v>0.14</v>
      </c>
      <c r="B45" s="45">
        <f t="shared" si="0"/>
        <v>-0.0103746397694524</v>
      </c>
      <c r="C45" s="45">
        <f t="shared" si="1"/>
        <v>0.211276685053143</v>
      </c>
      <c r="D45" s="49">
        <f t="shared" si="2"/>
        <v>0.104837087675052</v>
      </c>
      <c r="H45" s="8">
        <f t="shared" si="3"/>
        <v>0.211276685053143</v>
      </c>
    </row>
    <row r="46" spans="1:8">
      <c r="A46" s="48">
        <v>0.13</v>
      </c>
      <c r="B46" s="45">
        <f t="shared" si="0"/>
        <v>-0.0111801242236025</v>
      </c>
      <c r="C46" s="45">
        <f t="shared" si="1"/>
        <v>0.189186507524649</v>
      </c>
      <c r="D46" s="49">
        <f t="shared" si="2"/>
        <v>0.0991583558680369</v>
      </c>
      <c r="H46" s="8">
        <f t="shared" si="3"/>
        <v>0.189186507524649</v>
      </c>
    </row>
    <row r="47" spans="1:8">
      <c r="A47" s="48">
        <v>0.12</v>
      </c>
      <c r="B47" s="45">
        <f t="shared" si="0"/>
        <v>-0.0121212121212121</v>
      </c>
      <c r="C47" s="45">
        <f t="shared" si="1"/>
        <v>0.168618263810597</v>
      </c>
      <c r="D47" s="49">
        <f t="shared" si="2"/>
        <v>0.0932644761314321</v>
      </c>
      <c r="H47" s="8">
        <f t="shared" si="3"/>
        <v>0.168618263810597</v>
      </c>
    </row>
    <row r="48" spans="1:8">
      <c r="A48" s="48">
        <v>0.11</v>
      </c>
      <c r="B48" s="45">
        <f t="shared" si="0"/>
        <v>-0.0132352941176471</v>
      </c>
      <c r="C48" s="45">
        <f t="shared" si="1"/>
        <v>0.14941990796803</v>
      </c>
      <c r="D48" s="49">
        <f t="shared" si="2"/>
        <v>0.0871429855357401</v>
      </c>
      <c r="H48" s="8">
        <f t="shared" si="3"/>
        <v>0.14941990796803</v>
      </c>
    </row>
    <row r="49" spans="1:8">
      <c r="A49" s="48">
        <v>0.1</v>
      </c>
      <c r="B49" s="45">
        <f t="shared" si="0"/>
        <v>-0.0145748987854251</v>
      </c>
      <c r="C49" s="45">
        <f t="shared" si="1"/>
        <v>0.131458994491973</v>
      </c>
      <c r="D49" s="49">
        <f t="shared" si="2"/>
        <v>0.0807804396076472</v>
      </c>
      <c r="H49" s="8">
        <f t="shared" si="3"/>
        <v>0.131458994491973</v>
      </c>
    </row>
    <row r="50" spans="1:8">
      <c r="A50" s="48">
        <v>0.09</v>
      </c>
      <c r="B50" s="45">
        <f t="shared" si="0"/>
        <v>-0.0162162162162162</v>
      </c>
      <c r="C50" s="45">
        <f t="shared" si="1"/>
        <v>0.114619618528609</v>
      </c>
      <c r="D50" s="49">
        <f t="shared" si="2"/>
        <v>0.0741623137598598</v>
      </c>
      <c r="H50" s="8">
        <f t="shared" si="3"/>
        <v>0.114619618528609</v>
      </c>
    </row>
    <row r="51" spans="1:8">
      <c r="A51" s="48">
        <v>0.08</v>
      </c>
      <c r="B51" s="45">
        <f t="shared" si="0"/>
        <v>-0.0182741116751269</v>
      </c>
      <c r="C51" s="45">
        <f t="shared" si="1"/>
        <v>0.0987999119233732</v>
      </c>
      <c r="D51" s="49">
        <f t="shared" si="2"/>
        <v>0.0672728925989419</v>
      </c>
      <c r="H51" s="8">
        <f t="shared" si="3"/>
        <v>0.0987999119233732</v>
      </c>
    </row>
    <row r="52" spans="1:8">
      <c r="A52" s="48">
        <v>0.0699999999999999</v>
      </c>
      <c r="B52" s="45">
        <f t="shared" si="0"/>
        <v>-0.0209302325581396</v>
      </c>
      <c r="C52" s="45">
        <f t="shared" si="1"/>
        <v>0.0839099807651204</v>
      </c>
      <c r="D52" s="49">
        <f t="shared" si="2"/>
        <v>0.0600951453355654</v>
      </c>
      <c r="H52" s="8">
        <f t="shared" si="3"/>
        <v>0.0839099807651204</v>
      </c>
    </row>
    <row r="53" spans="1:8">
      <c r="A53" s="48">
        <v>0.0599999999999999</v>
      </c>
      <c r="B53" s="45">
        <f t="shared" si="0"/>
        <v>-0.0244897959183674</v>
      </c>
      <c r="C53" s="45">
        <f t="shared" si="1"/>
        <v>0.0698701962005604</v>
      </c>
      <c r="D53" s="49">
        <f t="shared" si="2"/>
        <v>0.0526105852179995</v>
      </c>
      <c r="H53" s="8">
        <f t="shared" si="3"/>
        <v>0.0698701962005604</v>
      </c>
    </row>
    <row r="54" ht="15.75" spans="1:8">
      <c r="A54" s="50">
        <v>0.0499999999999999</v>
      </c>
      <c r="B54" s="51">
        <f t="shared" si="0"/>
        <v>-0.0295081967213115</v>
      </c>
      <c r="C54" s="51">
        <f t="shared" si="1"/>
        <v>0.0566097698829226</v>
      </c>
      <c r="D54" s="52">
        <f t="shared" si="2"/>
        <v>0.0447991105463786</v>
      </c>
      <c r="H54" s="8">
        <f t="shared" si="3"/>
        <v>0.0566097698829226</v>
      </c>
    </row>
  </sheetData>
  <sheetProtection password="D291" sheet="1" objects="1" scenarios="1"/>
  <mergeCells count="8">
    <mergeCell ref="A4:B4"/>
    <mergeCell ref="A5:B5"/>
    <mergeCell ref="A12:B12"/>
    <mergeCell ref="A13:B13"/>
    <mergeCell ref="A6:A8"/>
    <mergeCell ref="A9:A11"/>
    <mergeCell ref="D6:D7"/>
    <mergeCell ref="E10:E11"/>
  </mergeCells>
  <printOptions horizontalCentered="1"/>
  <pageMargins left="0.748031496062992" right="0.551181102362205" top="0.590551181102362" bottom="0.590551181102362" header="0.511811023622047" footer="0.511811023622047"/>
  <pageSetup paperSize="9" scale="95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2:C26"/>
  <sheetViews>
    <sheetView workbookViewId="0">
      <selection activeCell="C5" sqref="C5:C27"/>
    </sheetView>
  </sheetViews>
  <sheetFormatPr defaultColWidth="9" defaultRowHeight="15" outlineLevelCol="2"/>
  <cols>
    <col min="1" max="4" width="12.625" style="8" customWidth="1"/>
    <col min="5" max="16384" width="9" style="8"/>
  </cols>
  <sheetData>
    <row r="2" ht="18.75" spans="1:3">
      <c r="A2" s="9" t="s">
        <v>90</v>
      </c>
    </row>
    <row r="5" spans="1:3">
      <c r="A5" s="10" t="s">
        <v>62</v>
      </c>
      <c r="B5" s="10" t="s">
        <v>91</v>
      </c>
      <c r="C5" s="10" t="s">
        <v>92</v>
      </c>
    </row>
    <row r="6" spans="1:3">
      <c r="A6" s="11">
        <v>0</v>
      </c>
      <c r="B6" s="12">
        <v>0</v>
      </c>
      <c r="C6" s="13">
        <v>0</v>
      </c>
    </row>
    <row r="7" spans="1:3">
      <c r="A7" s="11">
        <v>0.05</v>
      </c>
      <c r="B7" s="12">
        <v>0.1107</v>
      </c>
      <c r="C7" s="13">
        <v>2.02</v>
      </c>
    </row>
    <row r="8" spans="1:3">
      <c r="A8" s="11">
        <v>0.1</v>
      </c>
      <c r="B8" s="12">
        <v>0.2214</v>
      </c>
      <c r="C8" s="13">
        <v>4.07</v>
      </c>
    </row>
    <row r="9" spans="1:3">
      <c r="A9" s="11">
        <v>0.15</v>
      </c>
      <c r="B9" s="12">
        <v>0.3321</v>
      </c>
      <c r="C9" s="13">
        <v>6.18</v>
      </c>
    </row>
    <row r="10" spans="1:3">
      <c r="A10" s="11">
        <v>0.2</v>
      </c>
      <c r="B10" s="12">
        <v>0.4428</v>
      </c>
      <c r="C10" s="13">
        <v>8.39</v>
      </c>
    </row>
    <row r="11" spans="1:3">
      <c r="A11" s="11">
        <v>0.25</v>
      </c>
      <c r="B11" s="12">
        <v>0.5535</v>
      </c>
      <c r="C11" s="13">
        <v>10.72</v>
      </c>
    </row>
    <row r="12" spans="1:3">
      <c r="A12" s="11">
        <v>0.3</v>
      </c>
      <c r="B12" s="12">
        <v>0.6642</v>
      </c>
      <c r="C12" s="13">
        <v>13.16</v>
      </c>
    </row>
    <row r="13" spans="1:3">
      <c r="A13" s="11">
        <v>0.35</v>
      </c>
      <c r="B13" s="12">
        <v>0.7749</v>
      </c>
      <c r="C13" s="13">
        <v>15.68</v>
      </c>
    </row>
    <row r="14" spans="1:3">
      <c r="A14" s="11">
        <v>0.4</v>
      </c>
      <c r="B14" s="12">
        <v>0.8856</v>
      </c>
      <c r="C14" s="13">
        <v>18.21</v>
      </c>
    </row>
    <row r="15" spans="1:3">
      <c r="A15" s="11">
        <v>0.45</v>
      </c>
      <c r="B15" s="12">
        <v>0.9963</v>
      </c>
      <c r="C15" s="13">
        <v>20.65</v>
      </c>
    </row>
    <row r="16" spans="1:3">
      <c r="A16" s="11">
        <v>0.5</v>
      </c>
      <c r="B16" s="12">
        <v>1.107</v>
      </c>
      <c r="C16" s="13">
        <v>22.87</v>
      </c>
    </row>
    <row r="17" spans="1:3">
      <c r="A17" s="11">
        <v>0.55</v>
      </c>
      <c r="B17" s="12">
        <v>1.2177</v>
      </c>
      <c r="C17" s="13">
        <v>24.81</v>
      </c>
    </row>
    <row r="18" spans="1:3">
      <c r="A18" s="11">
        <v>0.6</v>
      </c>
      <c r="B18" s="12">
        <v>1.3284</v>
      </c>
      <c r="C18" s="13">
        <v>26.46</v>
      </c>
    </row>
    <row r="19" spans="1:3">
      <c r="A19" s="11">
        <v>0.65</v>
      </c>
      <c r="B19" s="12">
        <v>1.4391</v>
      </c>
      <c r="C19" s="13">
        <v>27.82</v>
      </c>
    </row>
    <row r="20" spans="1:3">
      <c r="A20" s="11">
        <v>0.7</v>
      </c>
      <c r="B20" s="12">
        <v>1.5498</v>
      </c>
      <c r="C20" s="13">
        <v>28.88</v>
      </c>
    </row>
    <row r="21" spans="1:3">
      <c r="A21" s="11">
        <v>0.75</v>
      </c>
      <c r="B21" s="12">
        <v>1.6605</v>
      </c>
      <c r="C21" s="13">
        <v>29.56</v>
      </c>
    </row>
    <row r="22" spans="1:3">
      <c r="A22" s="11">
        <v>0.8</v>
      </c>
      <c r="B22" s="12">
        <v>1.7712</v>
      </c>
      <c r="C22" s="13">
        <v>29.77</v>
      </c>
    </row>
    <row r="23" spans="1:3">
      <c r="A23" s="11">
        <v>0.85</v>
      </c>
      <c r="B23" s="12">
        <v>1.8819</v>
      </c>
      <c r="C23" s="13">
        <v>29.5</v>
      </c>
    </row>
    <row r="24" spans="1:3">
      <c r="A24" s="11">
        <v>0.9</v>
      </c>
      <c r="B24" s="12">
        <v>1.9926</v>
      </c>
      <c r="C24" s="13">
        <v>28.84</v>
      </c>
    </row>
    <row r="25" spans="1:3">
      <c r="A25" s="11">
        <v>0.95</v>
      </c>
      <c r="B25" s="12">
        <v>2.1033</v>
      </c>
      <c r="C25" s="13">
        <v>27.98</v>
      </c>
    </row>
    <row r="26" spans="1:3">
      <c r="A26" s="11">
        <v>1</v>
      </c>
      <c r="B26" s="12">
        <v>2.214</v>
      </c>
      <c r="C26" s="13">
        <v>27.11</v>
      </c>
    </row>
  </sheetData>
  <pageMargins left="0.748031496062992" right="0.748031496062992" top="0.984251968503937" bottom="0.984251968503937" header="0.511811023622047" footer="0.511811023622047"/>
  <pageSetup paperSize="9" scale="98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03"/>
  <sheetViews>
    <sheetView workbookViewId="0">
      <selection activeCell="Z44" sqref="Z44"/>
    </sheetView>
  </sheetViews>
  <sheetFormatPr defaultColWidth="9" defaultRowHeight="13.5"/>
  <cols>
    <col min="1" max="1" width="9" style="1"/>
    <col min="2" max="4" width="11.875" style="2" customWidth="1"/>
    <col min="5" max="5" width="20.5" style="2" customWidth="1"/>
    <col min="6" max="16384" width="9" style="1"/>
  </cols>
  <sheetData>
    <row r="2" ht="14.25" spans="2:12">
      <c r="B2" s="3" t="s">
        <v>93</v>
      </c>
      <c r="C2" s="3" t="s">
        <v>94</v>
      </c>
      <c r="D2" s="3" t="s">
        <v>95</v>
      </c>
      <c r="E2" s="4" t="s">
        <v>96</v>
      </c>
    </row>
    <row r="3" spans="2:12">
      <c r="B3" s="5">
        <v>0</v>
      </c>
      <c r="C3" s="6">
        <v>0</v>
      </c>
      <c r="D3" s="6">
        <v>0</v>
      </c>
      <c r="E3" s="6">
        <v>0.00775518</v>
      </c>
    </row>
    <row r="4" spans="2:12">
      <c r="B4" s="5">
        <v>1.05</v>
      </c>
      <c r="C4" s="6">
        <v>0.02234989</v>
      </c>
      <c r="D4" s="6">
        <v>0.02234816</v>
      </c>
      <c r="E4" s="6">
        <v>0.00775518</v>
      </c>
    </row>
    <row r="5" spans="2:12">
      <c r="B5" s="5">
        <v>2.1</v>
      </c>
      <c r="C5" s="6">
        <v>0.04471018</v>
      </c>
      <c r="D5" s="6">
        <v>0.04469632</v>
      </c>
      <c r="E5" s="6">
        <v>0.03102107</v>
      </c>
    </row>
    <row r="6" spans="2:12">
      <c r="B6" s="5">
        <v>0</v>
      </c>
      <c r="C6" s="6">
        <v>0</v>
      </c>
      <c r="D6" s="6">
        <v>0.06704447</v>
      </c>
      <c r="E6" s="6">
        <v>0.06979858</v>
      </c>
    </row>
    <row r="7" spans="2:12">
      <c r="B7" s="5">
        <v>0.1107</v>
      </c>
      <c r="C7" s="6">
        <v>2.02</v>
      </c>
      <c r="D7" s="6">
        <v>0.08939263</v>
      </c>
      <c r="E7" s="6">
        <v>0.12408922</v>
      </c>
    </row>
    <row r="8" spans="2:12">
      <c r="B8" s="5">
        <v>0.2214</v>
      </c>
      <c r="C8" s="6">
        <v>4.07</v>
      </c>
      <c r="D8" s="6">
        <v>0.11174079</v>
      </c>
      <c r="E8" s="6">
        <v>0.19389503</v>
      </c>
      <c r="L8" s="7"/>
    </row>
    <row r="9" spans="2:12">
      <c r="B9" s="5">
        <v>0.3321</v>
      </c>
      <c r="C9" s="6">
        <v>6.18</v>
      </c>
      <c r="D9" s="6">
        <v>0.13408895</v>
      </c>
      <c r="E9" s="6">
        <v>0.27921837</v>
      </c>
    </row>
    <row r="10" spans="2:12">
      <c r="B10" s="5">
        <v>0.4428</v>
      </c>
      <c r="C10" s="6">
        <v>8.39</v>
      </c>
      <c r="D10" s="6">
        <v>0.1564371</v>
      </c>
      <c r="E10" s="6">
        <v>0.38006159</v>
      </c>
    </row>
    <row r="11" spans="2:12">
      <c r="B11" s="5">
        <v>0.5535</v>
      </c>
      <c r="C11" s="6">
        <v>10.72</v>
      </c>
      <c r="D11" s="6">
        <v>0.17878526</v>
      </c>
      <c r="E11" s="6">
        <v>0.4964264</v>
      </c>
    </row>
    <row r="12" spans="2:12">
      <c r="B12" s="5">
        <v>0.6642</v>
      </c>
      <c r="C12" s="6">
        <v>13.16</v>
      </c>
      <c r="D12" s="6">
        <v>0.20113342</v>
      </c>
      <c r="E12" s="6">
        <v>0.6283129</v>
      </c>
    </row>
    <row r="13" spans="2:12">
      <c r="B13" s="5">
        <v>0.7749</v>
      </c>
      <c r="C13" s="6">
        <v>15.68</v>
      </c>
      <c r="D13" s="6">
        <v>0.22348158</v>
      </c>
      <c r="E13" s="6">
        <v>0.7757181</v>
      </c>
    </row>
    <row r="14" spans="2:12">
      <c r="B14" s="5">
        <v>0.8856</v>
      </c>
      <c r="C14" s="6">
        <v>18.21</v>
      </c>
      <c r="D14" s="6">
        <v>0.24582973</v>
      </c>
      <c r="E14" s="6">
        <v>0.93863385</v>
      </c>
    </row>
    <row r="15" spans="2:12">
      <c r="B15" s="5">
        <v>0.9963</v>
      </c>
      <c r="C15" s="6">
        <v>20.65</v>
      </c>
      <c r="D15" s="6">
        <v>0.26817789</v>
      </c>
      <c r="E15" s="6">
        <v>1.117044</v>
      </c>
    </row>
    <row r="16" spans="2:12">
      <c r="B16" s="5">
        <v>1.107</v>
      </c>
      <c r="C16" s="6">
        <v>22.87</v>
      </c>
      <c r="D16" s="6">
        <v>0.29052605</v>
      </c>
      <c r="E16" s="6">
        <v>1.31092075</v>
      </c>
    </row>
    <row r="17" spans="2:5">
      <c r="B17" s="5">
        <v>1.2177</v>
      </c>
      <c r="C17" s="6">
        <v>24.81</v>
      </c>
      <c r="D17" s="6">
        <v>0.31287421</v>
      </c>
      <c r="E17" s="6">
        <v>1.52021998</v>
      </c>
    </row>
    <row r="18" spans="2:5">
      <c r="B18" s="5">
        <v>1.3284</v>
      </c>
      <c r="C18" s="6">
        <v>26.46</v>
      </c>
      <c r="D18" s="6">
        <v>0.33522236</v>
      </c>
      <c r="E18" s="6">
        <v>1.74487549</v>
      </c>
    </row>
    <row r="19" spans="2:5">
      <c r="B19" s="5">
        <v>1.4391</v>
      </c>
      <c r="C19" s="6">
        <v>27.82</v>
      </c>
      <c r="D19" s="6">
        <v>0.35757052</v>
      </c>
      <c r="E19" s="6">
        <v>1.98479213</v>
      </c>
    </row>
    <row r="20" spans="2:5">
      <c r="B20" s="5">
        <v>1.5498</v>
      </c>
      <c r="C20" s="6">
        <v>28.88</v>
      </c>
      <c r="D20" s="6">
        <v>0.37991868</v>
      </c>
      <c r="E20" s="6">
        <v>2.23983771</v>
      </c>
    </row>
    <row r="21" spans="2:5">
      <c r="B21" s="5">
        <v>1.6605</v>
      </c>
      <c r="C21" s="6">
        <v>29.56</v>
      </c>
      <c r="D21" s="6">
        <v>0.40226684</v>
      </c>
      <c r="E21" s="6">
        <v>2.5098338</v>
      </c>
    </row>
    <row r="22" spans="2:5">
      <c r="B22" s="5">
        <v>1.7712</v>
      </c>
      <c r="C22" s="6">
        <v>29.77</v>
      </c>
      <c r="D22" s="6">
        <v>0.42461499</v>
      </c>
      <c r="E22" s="6">
        <v>2.79454547</v>
      </c>
    </row>
    <row r="23" spans="2:5">
      <c r="B23" s="5">
        <v>1.8819</v>
      </c>
      <c r="C23" s="6">
        <v>29.5</v>
      </c>
      <c r="D23" s="6">
        <v>0.44696315</v>
      </c>
      <c r="E23" s="6">
        <v>3.09367013</v>
      </c>
    </row>
    <row r="24" spans="2:5">
      <c r="B24" s="5">
        <v>1.9926</v>
      </c>
      <c r="C24" s="6">
        <v>28.84</v>
      </c>
      <c r="D24" s="6">
        <v>0.46931131</v>
      </c>
      <c r="E24" s="6">
        <v>3.40682575</v>
      </c>
    </row>
    <row r="25" spans="2:5">
      <c r="B25" s="5">
        <v>2.1033</v>
      </c>
      <c r="C25" s="6">
        <v>27.98</v>
      </c>
      <c r="D25" s="6">
        <v>0.49165947</v>
      </c>
      <c r="E25" s="6">
        <v>3.7335389</v>
      </c>
    </row>
    <row r="26" spans="2:5">
      <c r="B26" s="5">
        <v>2.214</v>
      </c>
      <c r="C26" s="6">
        <v>27.11</v>
      </c>
      <c r="D26" s="6">
        <v>0.51400762</v>
      </c>
      <c r="E26" s="6">
        <v>4.07323292</v>
      </c>
    </row>
    <row r="27" spans="2:5">
      <c r="B27" s="5">
        <v>25.2</v>
      </c>
      <c r="C27" s="6">
        <v>0.56009069</v>
      </c>
      <c r="D27" s="6">
        <v>0.53635578</v>
      </c>
      <c r="E27" s="6">
        <v>4.42521695</v>
      </c>
    </row>
    <row r="28" spans="2:5">
      <c r="B28" s="5">
        <v>26.25</v>
      </c>
      <c r="C28" s="6">
        <v>0.58545846</v>
      </c>
      <c r="D28" s="6">
        <v>0.55870394</v>
      </c>
      <c r="E28" s="6">
        <v>4.78867633</v>
      </c>
    </row>
    <row r="29" spans="2:5">
      <c r="B29" s="5">
        <v>27.3</v>
      </c>
      <c r="C29" s="6">
        <v>0.61104987</v>
      </c>
      <c r="D29" s="6">
        <v>0.5810521</v>
      </c>
      <c r="E29" s="6">
        <v>5.16266514</v>
      </c>
    </row>
    <row r="30" spans="2:5">
      <c r="B30" s="5">
        <v>28.35</v>
      </c>
      <c r="C30" s="6">
        <v>0.63686545</v>
      </c>
      <c r="D30" s="6">
        <v>0.60340025</v>
      </c>
      <c r="E30" s="6">
        <v>5.54610156</v>
      </c>
    </row>
    <row r="31" spans="2:5">
      <c r="B31" s="5">
        <v>29.4</v>
      </c>
      <c r="C31" s="6">
        <v>0.66290389</v>
      </c>
      <c r="D31" s="6">
        <v>0.62574841</v>
      </c>
      <c r="E31" s="6">
        <v>5.9377666</v>
      </c>
    </row>
    <row r="32" spans="2:5">
      <c r="B32" s="5">
        <v>30.45</v>
      </c>
      <c r="C32" s="6">
        <v>0.68916196</v>
      </c>
      <c r="D32" s="6">
        <v>0.64809657</v>
      </c>
      <c r="E32" s="6">
        <v>6.33630695</v>
      </c>
    </row>
    <row r="33" spans="2:5">
      <c r="B33" s="5">
        <v>31.5</v>
      </c>
      <c r="C33" s="6">
        <v>0.71563432</v>
      </c>
      <c r="D33" s="6">
        <v>0.67044473</v>
      </c>
      <c r="E33" s="6">
        <v>6.74024195</v>
      </c>
    </row>
    <row r="34" spans="2:5">
      <c r="B34" s="5">
        <v>32.55</v>
      </c>
      <c r="C34" s="6">
        <v>0.74231355</v>
      </c>
      <c r="D34" s="6">
        <v>0.69279289</v>
      </c>
      <c r="E34" s="6">
        <v>7.14797524</v>
      </c>
    </row>
    <row r="35" spans="2:5">
      <c r="B35" s="5">
        <v>33.6</v>
      </c>
      <c r="C35" s="6">
        <v>0.76919005</v>
      </c>
      <c r="D35" s="6">
        <v>0.71514104</v>
      </c>
      <c r="E35" s="6">
        <v>7.55781056</v>
      </c>
    </row>
    <row r="36" spans="2:5">
      <c r="B36" s="5">
        <v>34.65</v>
      </c>
      <c r="C36" s="6">
        <v>0.79625213</v>
      </c>
      <c r="D36" s="6">
        <v>0.7374892</v>
      </c>
      <c r="E36" s="6">
        <v>7.96797156</v>
      </c>
    </row>
    <row r="37" spans="2:5">
      <c r="B37" s="5">
        <v>35.7</v>
      </c>
      <c r="C37" s="6">
        <v>0.82348608</v>
      </c>
      <c r="D37" s="6">
        <v>0.75983736</v>
      </c>
      <c r="E37" s="6">
        <v>8.37662476</v>
      </c>
    </row>
    <row r="38" spans="2:5">
      <c r="B38" s="5">
        <v>36.75</v>
      </c>
      <c r="C38" s="6">
        <v>0.8508763</v>
      </c>
      <c r="D38" s="6">
        <v>0.78218552</v>
      </c>
      <c r="E38" s="6">
        <v>8.78190498</v>
      </c>
    </row>
    <row r="39" spans="2:5">
      <c r="B39" s="5">
        <v>37.8</v>
      </c>
      <c r="C39" s="6">
        <v>0.87840549</v>
      </c>
      <c r="D39" s="6">
        <v>0.80453367</v>
      </c>
      <c r="E39" s="6">
        <v>9.18194214</v>
      </c>
    </row>
    <row r="40" spans="2:5">
      <c r="B40" s="5">
        <v>38.85</v>
      </c>
      <c r="C40" s="6">
        <v>0.90605484</v>
      </c>
      <c r="D40" s="6">
        <v>0.82688183</v>
      </c>
      <c r="E40" s="6">
        <v>9.57488845</v>
      </c>
    </row>
    <row r="41" spans="2:5">
      <c r="B41" s="5">
        <v>39.9</v>
      </c>
      <c r="C41" s="6">
        <v>0.93380434</v>
      </c>
      <c r="D41" s="6">
        <v>0.84922999</v>
      </c>
      <c r="E41" s="6">
        <v>9.95894502</v>
      </c>
    </row>
    <row r="42" spans="2:5">
      <c r="B42" s="5">
        <v>40.95</v>
      </c>
      <c r="C42" s="6">
        <v>0.96163297</v>
      </c>
      <c r="D42" s="6">
        <v>0.87157815</v>
      </c>
      <c r="E42" s="6">
        <v>10.33238719</v>
      </c>
    </row>
    <row r="43" spans="2:5">
      <c r="B43" s="5">
        <v>42</v>
      </c>
      <c r="C43" s="6">
        <v>0.9895191</v>
      </c>
      <c r="D43" s="6">
        <v>0.8939263</v>
      </c>
      <c r="E43" s="6">
        <v>10.69358779</v>
      </c>
    </row>
    <row r="44" spans="2:5">
      <c r="B44" s="5">
        <v>43.05</v>
      </c>
      <c r="C44" s="6">
        <v>1.01744067</v>
      </c>
      <c r="D44" s="6">
        <v>0.91627446</v>
      </c>
      <c r="E44" s="6">
        <v>11.04103793</v>
      </c>
    </row>
    <row r="45" spans="2:5">
      <c r="B45" s="5">
        <v>44.1</v>
      </c>
      <c r="C45" s="6">
        <v>1.0453756</v>
      </c>
      <c r="D45" s="6">
        <v>0.93862262</v>
      </c>
      <c r="E45" s="6">
        <v>11.37336506</v>
      </c>
    </row>
    <row r="46" spans="2:5">
      <c r="B46" s="5">
        <v>45.15</v>
      </c>
      <c r="C46" s="6">
        <v>1.07330199</v>
      </c>
      <c r="D46" s="6">
        <v>0.96097078</v>
      </c>
      <c r="E46" s="6">
        <v>11.68934801</v>
      </c>
    </row>
    <row r="47" spans="2:5">
      <c r="B47" s="5">
        <v>46.2</v>
      </c>
      <c r="C47" s="6">
        <v>1.10119851</v>
      </c>
      <c r="D47" s="6">
        <v>0.98331893</v>
      </c>
      <c r="E47" s="6">
        <v>11.98792901</v>
      </c>
    </row>
    <row r="48" spans="2:5">
      <c r="B48" s="5">
        <v>47.25</v>
      </c>
      <c r="C48" s="6">
        <v>1.12904457</v>
      </c>
      <c r="D48" s="6">
        <v>1.00566709</v>
      </c>
      <c r="E48" s="6">
        <v>12.26822244</v>
      </c>
    </row>
    <row r="49" spans="2:5">
      <c r="B49" s="5">
        <v>48.3</v>
      </c>
      <c r="C49" s="6">
        <v>1.15682063</v>
      </c>
      <c r="D49" s="6">
        <v>1.02801525</v>
      </c>
      <c r="E49" s="6">
        <v>12.52952017</v>
      </c>
    </row>
    <row r="50" spans="2:5">
      <c r="B50" s="5">
        <v>49.35</v>
      </c>
      <c r="C50" s="6">
        <v>1.1845084</v>
      </c>
      <c r="D50" s="6">
        <v>1.05036341</v>
      </c>
      <c r="E50" s="6">
        <v>12.77129339</v>
      </c>
    </row>
    <row r="51" spans="2:5">
      <c r="B51" s="5">
        <v>50.4</v>
      </c>
      <c r="C51" s="6">
        <v>1.21209102</v>
      </c>
      <c r="D51" s="6">
        <v>1.07271156</v>
      </c>
      <c r="E51" s="6">
        <v>12.99319053</v>
      </c>
    </row>
    <row r="52" spans="2:5">
      <c r="B52" s="5">
        <v>51.45</v>
      </c>
      <c r="C52" s="6">
        <v>1.23955319</v>
      </c>
      <c r="D52" s="6">
        <v>1.09505972</v>
      </c>
      <c r="E52" s="6">
        <v>13.19503127</v>
      </c>
    </row>
    <row r="53" spans="2:5">
      <c r="B53" s="5">
        <v>52.5</v>
      </c>
      <c r="C53" s="6">
        <v>1.26688125</v>
      </c>
      <c r="D53" s="6">
        <v>1.11740788</v>
      </c>
      <c r="E53" s="6">
        <v>13.37679617</v>
      </c>
    </row>
    <row r="54" spans="2:5">
      <c r="B54" s="5">
        <v>53.55</v>
      </c>
      <c r="C54" s="6">
        <v>1.29406319</v>
      </c>
      <c r="D54" s="6">
        <v>1.13975604</v>
      </c>
      <c r="E54" s="6">
        <v>13.53861229</v>
      </c>
    </row>
    <row r="55" spans="2:5">
      <c r="B55" s="5">
        <v>54.6</v>
      </c>
      <c r="C55" s="6">
        <v>1.32108858</v>
      </c>
      <c r="D55" s="6">
        <v>1.16210419</v>
      </c>
      <c r="E55" s="6">
        <v>13.68073454</v>
      </c>
    </row>
    <row r="56" spans="2:5">
      <c r="B56" s="5">
        <v>55.65</v>
      </c>
      <c r="C56" s="6">
        <v>1.34794851</v>
      </c>
      <c r="D56" s="6">
        <v>1.18445235</v>
      </c>
      <c r="E56" s="6">
        <v>13.80352343</v>
      </c>
    </row>
    <row r="57" spans="2:5">
      <c r="B57" s="5">
        <v>56.7</v>
      </c>
      <c r="C57" s="6">
        <v>1.37463532</v>
      </c>
      <c r="D57" s="6">
        <v>1.20680051</v>
      </c>
      <c r="E57" s="6">
        <v>13.90741975</v>
      </c>
    </row>
    <row r="58" spans="2:5">
      <c r="B58" s="5">
        <v>57.75</v>
      </c>
      <c r="C58" s="6">
        <v>1.40114242</v>
      </c>
      <c r="D58" s="6">
        <v>1.22914867</v>
      </c>
      <c r="E58" s="6">
        <v>13.99291696</v>
      </c>
    </row>
    <row r="59" spans="2:5">
      <c r="B59" s="5">
        <v>58.8</v>
      </c>
      <c r="C59" s="6">
        <v>1.42746394</v>
      </c>
      <c r="D59" s="6">
        <v>1.25149683</v>
      </c>
      <c r="E59" s="6">
        <v>14.06053251</v>
      </c>
    </row>
    <row r="60" spans="2:5">
      <c r="B60" s="5">
        <v>59.85</v>
      </c>
      <c r="C60" s="6">
        <v>1.45359443</v>
      </c>
      <c r="D60" s="6">
        <v>1.27384498</v>
      </c>
      <c r="E60" s="6">
        <v>14.11077909</v>
      </c>
    </row>
    <row r="61" spans="2:5">
      <c r="B61" s="5">
        <v>60.9</v>
      </c>
      <c r="C61" s="6">
        <v>1.47952848</v>
      </c>
      <c r="D61" s="6">
        <v>1.29619314</v>
      </c>
      <c r="E61" s="6">
        <v>14.14413721</v>
      </c>
    </row>
    <row r="62" spans="2:5">
      <c r="B62" s="5">
        <v>61.95</v>
      </c>
      <c r="C62" s="6">
        <v>1.50526033</v>
      </c>
      <c r="D62" s="6">
        <v>1.3185413</v>
      </c>
      <c r="E62" s="6">
        <v>14.16103017</v>
      </c>
    </row>
    <row r="63" spans="2:5">
      <c r="B63" s="5">
        <v>63</v>
      </c>
      <c r="C63" s="6">
        <v>1.53078357</v>
      </c>
      <c r="D63" s="6">
        <v>1.34088946</v>
      </c>
      <c r="E63" s="6">
        <v>14.16180261</v>
      </c>
    </row>
    <row r="64" spans="2:5">
      <c r="B64" s="5">
        <v>64.05</v>
      </c>
      <c r="C64" s="6">
        <v>1.55609079</v>
      </c>
      <c r="D64" s="6">
        <v>1.36323761</v>
      </c>
      <c r="E64" s="6">
        <v>14.14670331</v>
      </c>
    </row>
    <row r="65" spans="2:5">
      <c r="B65" s="5">
        <v>65.1</v>
      </c>
      <c r="C65" s="6">
        <v>1.5811733</v>
      </c>
      <c r="D65" s="6">
        <v>1.38558577</v>
      </c>
      <c r="E65" s="6">
        <v>14.11587305</v>
      </c>
    </row>
    <row r="66" spans="2:5">
      <c r="B66" s="5">
        <v>66.15</v>
      </c>
      <c r="C66" s="6">
        <v>1.60602091</v>
      </c>
      <c r="D66" s="6">
        <v>1.40793393</v>
      </c>
      <c r="E66" s="6">
        <v>14.06933768</v>
      </c>
    </row>
    <row r="67" spans="2:5">
      <c r="B67" s="5">
        <v>67.2</v>
      </c>
      <c r="C67" s="6">
        <v>1.63062179</v>
      </c>
      <c r="D67" s="6">
        <v>1.43028209</v>
      </c>
      <c r="E67" s="6">
        <v>14.00700643</v>
      </c>
    </row>
    <row r="68" spans="2:5">
      <c r="B68" s="5">
        <v>68.25</v>
      </c>
      <c r="C68" s="6">
        <v>1.65496239</v>
      </c>
      <c r="D68" s="6">
        <v>1.45263024</v>
      </c>
      <c r="E68" s="6">
        <v>13.92867527</v>
      </c>
    </row>
    <row r="69" spans="2:5">
      <c r="B69" s="5">
        <v>69.3</v>
      </c>
      <c r="C69" s="6">
        <v>1.67902742</v>
      </c>
      <c r="D69" s="6">
        <v>1.4749784</v>
      </c>
      <c r="E69" s="6">
        <v>13.8340347</v>
      </c>
    </row>
    <row r="70" spans="2:5">
      <c r="B70" s="5">
        <v>70.35</v>
      </c>
      <c r="C70" s="6">
        <v>1.70279991</v>
      </c>
      <c r="D70" s="6">
        <v>1.49732656</v>
      </c>
      <c r="E70" s="6">
        <v>13.72268143</v>
      </c>
    </row>
    <row r="71" spans="2:5">
      <c r="B71" s="5">
        <v>71.4</v>
      </c>
      <c r="C71" s="6">
        <v>1.72626132</v>
      </c>
      <c r="D71" s="6">
        <v>1.51967472</v>
      </c>
      <c r="E71" s="6">
        <v>13.59413305</v>
      </c>
    </row>
    <row r="72" spans="2:5">
      <c r="B72" s="5">
        <v>72.45</v>
      </c>
      <c r="C72" s="6">
        <v>1.74939172</v>
      </c>
      <c r="D72" s="6">
        <v>1.54202287</v>
      </c>
      <c r="E72" s="6">
        <v>13.447845</v>
      </c>
    </row>
    <row r="73" spans="2:5">
      <c r="B73" s="5">
        <v>73.5</v>
      </c>
      <c r="C73" s="6">
        <v>1.77217002</v>
      </c>
      <c r="D73" s="6">
        <v>1.56437103</v>
      </c>
      <c r="E73" s="6">
        <v>13.28322891</v>
      </c>
    </row>
    <row r="74" spans="2:5">
      <c r="B74" s="5">
        <v>74.55</v>
      </c>
      <c r="C74" s="6">
        <v>1.79457419</v>
      </c>
      <c r="D74" s="6">
        <v>1.58671919</v>
      </c>
      <c r="E74" s="6">
        <v>13.09967172</v>
      </c>
    </row>
    <row r="75" spans="2:5">
      <c r="B75" s="5">
        <v>75.6</v>
      </c>
      <c r="C75" s="6">
        <v>1.8165816</v>
      </c>
      <c r="D75" s="6">
        <v>1.60906735</v>
      </c>
      <c r="E75" s="6">
        <v>12.89655488</v>
      </c>
    </row>
    <row r="76" spans="2:5">
      <c r="B76" s="5">
        <v>76.65</v>
      </c>
      <c r="C76" s="6">
        <v>1.83816925</v>
      </c>
      <c r="D76" s="6">
        <v>1.6314155</v>
      </c>
      <c r="E76" s="6">
        <v>12.67327321</v>
      </c>
    </row>
    <row r="77" spans="2:5">
      <c r="B77" s="5">
        <v>77.7</v>
      </c>
      <c r="C77" s="6">
        <v>1.85931413</v>
      </c>
      <c r="D77" s="6">
        <v>1.65376366</v>
      </c>
      <c r="E77" s="6">
        <v>12.42925294</v>
      </c>
    </row>
    <row r="78" spans="2:5">
      <c r="B78" s="5">
        <v>78.75</v>
      </c>
      <c r="C78" s="6">
        <v>1.87999354</v>
      </c>
      <c r="D78" s="6">
        <v>1.67611182</v>
      </c>
      <c r="E78" s="6">
        <v>12.16396887</v>
      </c>
    </row>
    <row r="79" spans="2:5">
      <c r="B79" s="5">
        <v>79.8</v>
      </c>
      <c r="C79" s="6">
        <v>1.90018539</v>
      </c>
      <c r="D79" s="6">
        <v>1.69845998</v>
      </c>
      <c r="E79" s="6">
        <v>11.87696026</v>
      </c>
    </row>
    <row r="80" spans="2:5">
      <c r="B80" s="5">
        <v>80.85</v>
      </c>
      <c r="C80" s="6">
        <v>1.91986856</v>
      </c>
      <c r="D80" s="6">
        <v>1.72080813</v>
      </c>
      <c r="E80" s="6">
        <v>11.56784533</v>
      </c>
    </row>
    <row r="81" spans="2:5">
      <c r="B81" s="5">
        <v>81.9</v>
      </c>
      <c r="C81" s="6">
        <v>1.93902316</v>
      </c>
      <c r="D81" s="6">
        <v>1.74315629</v>
      </c>
      <c r="E81" s="6">
        <v>11.23633424</v>
      </c>
    </row>
    <row r="82" spans="2:5">
      <c r="B82" s="5">
        <v>82.95</v>
      </c>
      <c r="C82" s="6">
        <v>1.95763088</v>
      </c>
      <c r="D82" s="6">
        <v>1.76550445</v>
      </c>
      <c r="E82" s="6">
        <v>10.88224018</v>
      </c>
    </row>
    <row r="83" spans="2:5">
      <c r="B83" s="5">
        <v>84</v>
      </c>
      <c r="C83" s="6">
        <v>1.97567525</v>
      </c>
      <c r="D83" s="6">
        <v>1.78785261</v>
      </c>
      <c r="E83" s="6">
        <v>10.50548828</v>
      </c>
    </row>
    <row r="84" spans="2:5">
      <c r="B84" s="5">
        <v>85.05</v>
      </c>
      <c r="C84" s="6">
        <v>1.99314186</v>
      </c>
      <c r="D84" s="6">
        <v>1.81020076</v>
      </c>
      <c r="E84" s="6">
        <v>10.106122</v>
      </c>
    </row>
    <row r="85" spans="2:5">
      <c r="B85" s="5">
        <v>86.1</v>
      </c>
      <c r="C85" s="6">
        <v>2.01001858</v>
      </c>
      <c r="D85" s="6">
        <v>1.83254892</v>
      </c>
      <c r="E85" s="6">
        <v>9.68430651</v>
      </c>
    </row>
    <row r="86" spans="2:5">
      <c r="B86" s="5">
        <v>87.15</v>
      </c>
      <c r="C86" s="6">
        <v>2.02629567</v>
      </c>
      <c r="D86" s="6">
        <v>1.85489708</v>
      </c>
      <c r="E86" s="6">
        <v>9.24032881</v>
      </c>
    </row>
    <row r="87" spans="2:5">
      <c r="B87" s="5">
        <v>88.2</v>
      </c>
      <c r="C87" s="6">
        <v>2.04196589</v>
      </c>
      <c r="D87" s="6">
        <v>1.87724524</v>
      </c>
      <c r="E87" s="6">
        <v>8.77459432</v>
      </c>
    </row>
    <row r="88" spans="2:5">
      <c r="B88" s="5">
        <v>89.25</v>
      </c>
      <c r="C88" s="6">
        <v>2.05702447</v>
      </c>
      <c r="D88" s="6">
        <v>1.8995934</v>
      </c>
      <c r="E88" s="6">
        <v>8.28761984</v>
      </c>
    </row>
    <row r="89" spans="2:5">
      <c r="B89" s="5">
        <v>90.3</v>
      </c>
      <c r="C89" s="6">
        <v>2.07146905</v>
      </c>
      <c r="D89" s="6">
        <v>1.92194155</v>
      </c>
      <c r="E89" s="6">
        <v>7.78002328</v>
      </c>
    </row>
    <row r="90" spans="2:5">
      <c r="B90" s="5">
        <v>91.35</v>
      </c>
      <c r="C90" s="6">
        <v>2.08529952</v>
      </c>
      <c r="D90" s="6">
        <v>1.94428971</v>
      </c>
      <c r="E90" s="6">
        <v>7.25251035</v>
      </c>
    </row>
    <row r="91" spans="2:5">
      <c r="B91" s="5">
        <v>92.4</v>
      </c>
      <c r="C91" s="6">
        <v>2.09851783</v>
      </c>
      <c r="D91" s="6">
        <v>1.96663787</v>
      </c>
      <c r="E91" s="6">
        <v>6.70585923</v>
      </c>
    </row>
    <row r="92" spans="2:5">
      <c r="B92" s="5">
        <v>93.45</v>
      </c>
      <c r="C92" s="6">
        <v>2.11112774</v>
      </c>
      <c r="D92" s="6">
        <v>1.98898603</v>
      </c>
      <c r="E92" s="6">
        <v>6.14090381</v>
      </c>
    </row>
    <row r="93" spans="2:5">
      <c r="B93" s="5">
        <v>94.5</v>
      </c>
      <c r="C93" s="6">
        <v>2.12313453</v>
      </c>
      <c r="D93" s="6">
        <v>2.01133418</v>
      </c>
      <c r="E93" s="6">
        <v>5.55851664</v>
      </c>
    </row>
    <row r="94" spans="2:5">
      <c r="B94" s="5">
        <v>95.55</v>
      </c>
      <c r="C94" s="6">
        <v>2.1345447</v>
      </c>
      <c r="D94" s="6">
        <v>2.03368234</v>
      </c>
      <c r="E94" s="6">
        <v>4.9595925</v>
      </c>
    </row>
    <row r="95" spans="2:5">
      <c r="B95" s="5">
        <v>96.6</v>
      </c>
      <c r="C95" s="6">
        <v>2.14536571</v>
      </c>
      <c r="D95" s="6">
        <v>2.0560305</v>
      </c>
      <c r="E95" s="6">
        <v>4.34503333</v>
      </c>
    </row>
    <row r="96" spans="2:5">
      <c r="B96" s="5">
        <v>97.65</v>
      </c>
      <c r="C96" s="6">
        <v>2.15560571</v>
      </c>
      <c r="D96" s="6">
        <v>2.07837866</v>
      </c>
      <c r="E96" s="6">
        <v>3.7157353</v>
      </c>
    </row>
    <row r="97" spans="2:5">
      <c r="B97" s="5">
        <v>98.7</v>
      </c>
      <c r="C97" s="6">
        <v>2.16527329</v>
      </c>
      <c r="D97" s="6">
        <v>2.10072681</v>
      </c>
      <c r="E97" s="6">
        <v>3.07257834</v>
      </c>
    </row>
    <row r="98" spans="2:5">
      <c r="B98" s="5">
        <v>99.75</v>
      </c>
      <c r="C98" s="6">
        <v>2.17437734</v>
      </c>
      <c r="D98" s="6">
        <v>2.12307497</v>
      </c>
      <c r="E98" s="6">
        <v>2.41641818</v>
      </c>
    </row>
    <row r="99" spans="2:5">
      <c r="B99" s="5">
        <v>100.8</v>
      </c>
      <c r="C99" s="6">
        <v>2.18292686</v>
      </c>
      <c r="D99" s="6">
        <v>2.14542313</v>
      </c>
      <c r="E99" s="6">
        <v>1.7480809</v>
      </c>
    </row>
    <row r="100" spans="2:5">
      <c r="B100" s="5">
        <v>101.85</v>
      </c>
      <c r="C100" s="6">
        <v>2.19093088</v>
      </c>
      <c r="D100" s="6">
        <v>2.16777129</v>
      </c>
      <c r="E100" s="6">
        <v>1.06835952</v>
      </c>
    </row>
    <row r="101" spans="2:5">
      <c r="B101" s="5">
        <v>102.9</v>
      </c>
      <c r="C101" s="6">
        <v>2.19839836</v>
      </c>
      <c r="D101" s="6">
        <v>2.19011944</v>
      </c>
      <c r="E101" s="6">
        <v>0.3780122</v>
      </c>
    </row>
    <row r="102" spans="2:5">
      <c r="B102" s="5">
        <v>103.95</v>
      </c>
      <c r="C102" s="6">
        <v>2.20533818</v>
      </c>
      <c r="D102" s="6">
        <v>2.2124676</v>
      </c>
      <c r="E102" s="6">
        <v>-0.32223864</v>
      </c>
    </row>
    <row r="103" spans="2:5">
      <c r="B103" s="5">
        <v>105</v>
      </c>
      <c r="C103" s="6">
        <v>2.21175901</v>
      </c>
      <c r="D103" s="6">
        <v>2.23481576</v>
      </c>
      <c r="E103" s="6">
        <v>-1.03170691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6" master="" otherUserPermission="visible"/>
  <rangeList sheetStid="4" master="" otherUserPermission="visible"/>
  <rangeList sheetStid="3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CMT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Specification</vt:lpstr>
      <vt:lpstr>Simiulation Data</vt:lpstr>
      <vt:lpstr>Depth of Field</vt:lpstr>
      <vt:lpstr>Chief Ray Angle</vt:lpstr>
      <vt:lpstr>Distortion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Bob</cp:lastModifiedBy>
  <dcterms:created xsi:type="dcterms:W3CDTF">2009-09-14T06:53:00Z</dcterms:created>
  <cp:lastPrinted>2009-09-14T10:18:00Z</cp:lastPrinted>
  <dcterms:modified xsi:type="dcterms:W3CDTF">2026-06-12T09:16:45Z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9F9CF7CA24D146C9A09AD54117DB5121_13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